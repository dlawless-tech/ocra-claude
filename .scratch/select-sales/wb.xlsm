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Scans\Period Closing Documents for Nancy\2026\"/>
    </mc:Choice>
  </mc:AlternateContent>
  <xr:revisionPtr revIDLastSave="0" documentId="8_{7E077F6D-8514-44C6-9ACF-8039722E9B2D}" xr6:coauthVersionLast="47" xr6:coauthVersionMax="47" xr10:uidLastSave="{00000000-0000-0000-0000-000000000000}"/>
  <bookViews>
    <workbookView xWindow="-120" yWindow="-120" windowWidth="29040" windowHeight="15720" tabRatio="626" firstSheet="1" activeTab="5" xr2:uid="{00000000-000D-0000-FFFF-FFFF00000000}"/>
  </bookViews>
  <sheets>
    <sheet name="Summary" sheetId="52" state="hidden" r:id="rId1"/>
    <sheet name="2026" sheetId="105" r:id="rId2"/>
    <sheet name="P13" sheetId="157" r:id="rId3"/>
    <sheet name="P12" sheetId="156" r:id="rId4"/>
    <sheet name="P11" sheetId="155" r:id="rId5"/>
    <sheet name="P10" sheetId="154" r:id="rId6"/>
    <sheet name="P9" sheetId="153" r:id="rId7"/>
    <sheet name="P8" sheetId="152" r:id="rId8"/>
    <sheet name="P7" sheetId="151" r:id="rId9"/>
    <sheet name="P6" sheetId="150" r:id="rId10"/>
    <sheet name="P5" sheetId="149" r:id="rId11"/>
    <sheet name="P4" sheetId="148" r:id="rId12"/>
    <sheet name="P3" sheetId="147" r:id="rId13"/>
    <sheet name="P2" sheetId="146" r:id="rId14"/>
    <sheet name="P1" sheetId="145" r:id="rId15"/>
  </sheets>
  <definedNames>
    <definedName name="_xlnm.Print_Area" localSheetId="1">'2026'!$A$1:$Z$42</definedName>
    <definedName name="_xlnm.Print_Area" localSheetId="14">'P1'!$A$1:$AB$41</definedName>
    <definedName name="_xlnm.Print_Area" localSheetId="5">'P10'!$A$1:$AB$41</definedName>
    <definedName name="_xlnm.Print_Area" localSheetId="4">'P11'!$A$1:$AB$41</definedName>
    <definedName name="_xlnm.Print_Area" localSheetId="3">'P12'!$A$1:$AB$41</definedName>
    <definedName name="_xlnm.Print_Area" localSheetId="2">'P13'!$A$1:$AB$41</definedName>
    <definedName name="_xlnm.Print_Area" localSheetId="13">'P2'!$A$1:$AB$41</definedName>
    <definedName name="_xlnm.Print_Area" localSheetId="12">'P3'!$A$1:$AB$41</definedName>
    <definedName name="_xlnm.Print_Area" localSheetId="11">'P4'!$A$1:$AB$41</definedName>
    <definedName name="_xlnm.Print_Area" localSheetId="10">'P5'!$A$1:$AB$41</definedName>
    <definedName name="_xlnm.Print_Area" localSheetId="9">'P6'!$A$1:$AB$41</definedName>
    <definedName name="_xlnm.Print_Area" localSheetId="8">'P7'!$A$1:$AB$41</definedName>
    <definedName name="_xlnm.Print_Area" localSheetId="7">'P8'!$A$1:$AB$41</definedName>
    <definedName name="_xlnm.Print_Area" localSheetId="6">'P9'!$A$1:$AB$41</definedName>
    <definedName name="_xlnm.Print_Area" localSheetId="0">Summary!$A$1:$D$50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5" i="154" l="1"/>
  <c r="B28" i="152"/>
  <c r="C28" i="152"/>
  <c r="D28" i="152"/>
  <c r="E28" i="152"/>
  <c r="F28" i="152"/>
  <c r="G28" i="152"/>
  <c r="Z28" i="152" s="1"/>
  <c r="H28" i="152"/>
  <c r="I28" i="152"/>
  <c r="J28" i="152"/>
  <c r="K28" i="152"/>
  <c r="L28" i="152"/>
  <c r="M28" i="152"/>
  <c r="N28" i="152"/>
  <c r="O28" i="152"/>
  <c r="P28" i="152"/>
  <c r="Q28" i="152"/>
  <c r="R28" i="152"/>
  <c r="S28" i="152"/>
  <c r="T28" i="152"/>
  <c r="U28" i="152"/>
  <c r="V28" i="152"/>
  <c r="W28" i="152"/>
  <c r="X28" i="152"/>
  <c r="Y28" i="152"/>
  <c r="AA28" i="152"/>
  <c r="AA28" i="157"/>
  <c r="AA28" i="156"/>
  <c r="AA28" i="155"/>
  <c r="AA17" i="105"/>
  <c r="AA16" i="105"/>
  <c r="AA15" i="105"/>
  <c r="AA14" i="105"/>
  <c r="Y17" i="105"/>
  <c r="X17" i="105"/>
  <c r="W17" i="105"/>
  <c r="V17" i="105"/>
  <c r="U17" i="105"/>
  <c r="T17" i="105"/>
  <c r="S17" i="105"/>
  <c r="R17" i="105"/>
  <c r="Q17" i="105"/>
  <c r="P17" i="105"/>
  <c r="O17" i="105"/>
  <c r="N17" i="105"/>
  <c r="M17" i="105"/>
  <c r="L17" i="105"/>
  <c r="K17" i="105"/>
  <c r="J17" i="105"/>
  <c r="I17" i="105"/>
  <c r="H17" i="105"/>
  <c r="G17" i="105"/>
  <c r="F17" i="105"/>
  <c r="E17" i="105"/>
  <c r="D17" i="105"/>
  <c r="C17" i="105"/>
  <c r="Y16" i="105"/>
  <c r="X16" i="105"/>
  <c r="W16" i="105"/>
  <c r="V16" i="105"/>
  <c r="U16" i="105"/>
  <c r="T16" i="105"/>
  <c r="S16" i="105"/>
  <c r="R16" i="105"/>
  <c r="Q16" i="105"/>
  <c r="P16" i="105"/>
  <c r="O16" i="105"/>
  <c r="N16" i="105"/>
  <c r="M16" i="105"/>
  <c r="L16" i="105"/>
  <c r="K16" i="105"/>
  <c r="J16" i="105"/>
  <c r="I16" i="105"/>
  <c r="H16" i="105"/>
  <c r="G16" i="105"/>
  <c r="F16" i="105"/>
  <c r="E16" i="105"/>
  <c r="D16" i="105"/>
  <c r="C16" i="105"/>
  <c r="Y15" i="105"/>
  <c r="X15" i="105"/>
  <c r="W15" i="105"/>
  <c r="V15" i="105"/>
  <c r="U15" i="105"/>
  <c r="T15" i="105"/>
  <c r="S15" i="105"/>
  <c r="R15" i="105"/>
  <c r="Q15" i="105"/>
  <c r="P15" i="105"/>
  <c r="O15" i="105"/>
  <c r="N15" i="105"/>
  <c r="M15" i="105"/>
  <c r="L15" i="105"/>
  <c r="K15" i="105"/>
  <c r="J15" i="105"/>
  <c r="I15" i="105"/>
  <c r="H15" i="105"/>
  <c r="G15" i="105"/>
  <c r="F15" i="105"/>
  <c r="E15" i="105"/>
  <c r="D15" i="105"/>
  <c r="C15" i="105"/>
  <c r="Y14" i="105"/>
  <c r="X14" i="105"/>
  <c r="W14" i="105"/>
  <c r="V14" i="105"/>
  <c r="U14" i="105"/>
  <c r="T14" i="105"/>
  <c r="S14" i="105"/>
  <c r="R14" i="105"/>
  <c r="Q14" i="105"/>
  <c r="P14" i="105"/>
  <c r="O14" i="105"/>
  <c r="N14" i="105"/>
  <c r="M14" i="105"/>
  <c r="L14" i="105"/>
  <c r="K14" i="105"/>
  <c r="J14" i="105"/>
  <c r="I14" i="105"/>
  <c r="H14" i="105"/>
  <c r="G14" i="105"/>
  <c r="F14" i="105"/>
  <c r="E14" i="105"/>
  <c r="D14" i="105"/>
  <c r="C14" i="105"/>
  <c r="B17" i="105"/>
  <c r="B16" i="105"/>
  <c r="B15" i="105"/>
  <c r="B14" i="105"/>
  <c r="AA10" i="105"/>
  <c r="AA9" i="105"/>
  <c r="AA8" i="105"/>
  <c r="AA7" i="105"/>
  <c r="Y10" i="105"/>
  <c r="X10" i="105"/>
  <c r="W10" i="105"/>
  <c r="V10" i="105"/>
  <c r="U10" i="105"/>
  <c r="T10" i="105"/>
  <c r="S10" i="105"/>
  <c r="R10" i="105"/>
  <c r="Q10" i="105"/>
  <c r="P10" i="105"/>
  <c r="O10" i="105"/>
  <c r="N10" i="105"/>
  <c r="M10" i="105"/>
  <c r="L10" i="105"/>
  <c r="K10" i="105"/>
  <c r="J10" i="105"/>
  <c r="I10" i="105"/>
  <c r="H10" i="105"/>
  <c r="G10" i="105"/>
  <c r="F10" i="105"/>
  <c r="E10" i="105"/>
  <c r="D10" i="105"/>
  <c r="C10" i="105"/>
  <c r="Y9" i="105"/>
  <c r="X9" i="105"/>
  <c r="W9" i="105"/>
  <c r="V9" i="105"/>
  <c r="U9" i="105"/>
  <c r="T9" i="105"/>
  <c r="S9" i="105"/>
  <c r="R9" i="105"/>
  <c r="Q9" i="105"/>
  <c r="P9" i="105"/>
  <c r="O9" i="105"/>
  <c r="N9" i="105"/>
  <c r="M9" i="105"/>
  <c r="L9" i="105"/>
  <c r="K9" i="105"/>
  <c r="J9" i="105"/>
  <c r="I9" i="105"/>
  <c r="H9" i="105"/>
  <c r="G9" i="105"/>
  <c r="F9" i="105"/>
  <c r="E9" i="105"/>
  <c r="D9" i="105"/>
  <c r="C9" i="105"/>
  <c r="Y8" i="105"/>
  <c r="X8" i="105"/>
  <c r="W8" i="105"/>
  <c r="V8" i="105"/>
  <c r="U8" i="105"/>
  <c r="T8" i="105"/>
  <c r="S8" i="105"/>
  <c r="R8" i="105"/>
  <c r="Q8" i="105"/>
  <c r="P8" i="105"/>
  <c r="O8" i="105"/>
  <c r="N8" i="105"/>
  <c r="M8" i="105"/>
  <c r="L8" i="105"/>
  <c r="K8" i="105"/>
  <c r="J8" i="105"/>
  <c r="I8" i="105"/>
  <c r="H8" i="105"/>
  <c r="G8" i="105"/>
  <c r="F8" i="105"/>
  <c r="E8" i="105"/>
  <c r="D8" i="105"/>
  <c r="C8" i="105"/>
  <c r="Y7" i="105"/>
  <c r="X7" i="105"/>
  <c r="W7" i="105"/>
  <c r="V7" i="105"/>
  <c r="U7" i="105"/>
  <c r="T7" i="105"/>
  <c r="S7" i="105"/>
  <c r="R7" i="105"/>
  <c r="Q7" i="105"/>
  <c r="P7" i="105"/>
  <c r="O7" i="105"/>
  <c r="N7" i="105"/>
  <c r="M7" i="105"/>
  <c r="L7" i="105"/>
  <c r="K7" i="105"/>
  <c r="J7" i="105"/>
  <c r="I7" i="105"/>
  <c r="H7" i="105"/>
  <c r="G7" i="105"/>
  <c r="F7" i="105"/>
  <c r="E7" i="105"/>
  <c r="D7" i="105"/>
  <c r="C7" i="105"/>
  <c r="B10" i="105"/>
  <c r="B9" i="105"/>
  <c r="B8" i="105"/>
  <c r="B7" i="105"/>
  <c r="Y20" i="157"/>
  <c r="X20" i="157"/>
  <c r="S20" i="157"/>
  <c r="R20" i="157"/>
  <c r="Q20" i="157"/>
  <c r="M20" i="157"/>
  <c r="L20" i="157"/>
  <c r="K20" i="157"/>
  <c r="G20" i="157"/>
  <c r="F20" i="157"/>
  <c r="E20" i="157"/>
  <c r="AA18" i="157"/>
  <c r="Y18" i="157"/>
  <c r="Y28" i="157" s="1"/>
  <c r="X18" i="157"/>
  <c r="X28" i="157" s="1"/>
  <c r="W18" i="157"/>
  <c r="V18" i="157"/>
  <c r="U18" i="157"/>
  <c r="T18" i="157"/>
  <c r="T28" i="157" s="1"/>
  <c r="S18" i="157"/>
  <c r="S28" i="157" s="1"/>
  <c r="R18" i="157"/>
  <c r="R28" i="157" s="1"/>
  <c r="Q18" i="157"/>
  <c r="P18" i="157"/>
  <c r="O18" i="157"/>
  <c r="O28" i="157" s="1"/>
  <c r="N18" i="157"/>
  <c r="N28" i="157" s="1"/>
  <c r="M18" i="157"/>
  <c r="M28" i="157" s="1"/>
  <c r="L18" i="157"/>
  <c r="L28" i="157" s="1"/>
  <c r="K18" i="157"/>
  <c r="J18" i="157"/>
  <c r="I18" i="157"/>
  <c r="I28" i="157" s="1"/>
  <c r="H18" i="157"/>
  <c r="H28" i="157" s="1"/>
  <c r="G18" i="157"/>
  <c r="G28" i="157" s="1"/>
  <c r="F18" i="157"/>
  <c r="F28" i="157" s="1"/>
  <c r="E18" i="157"/>
  <c r="D18" i="157"/>
  <c r="C18" i="157"/>
  <c r="B18" i="157"/>
  <c r="B28" i="157" s="1"/>
  <c r="AB17" i="157"/>
  <c r="Z17" i="157"/>
  <c r="Z16" i="157"/>
  <c r="AB16" i="157" s="1"/>
  <c r="AB15" i="157"/>
  <c r="Z15" i="157"/>
  <c r="Z18" i="157" s="1"/>
  <c r="AB14" i="157"/>
  <c r="Z14" i="157"/>
  <c r="AA11" i="157"/>
  <c r="Y11" i="157"/>
  <c r="X11" i="157"/>
  <c r="W11" i="157"/>
  <c r="V11" i="157"/>
  <c r="U11" i="157"/>
  <c r="U20" i="157" s="1"/>
  <c r="T11" i="157"/>
  <c r="T20" i="157" s="1"/>
  <c r="S11" i="157"/>
  <c r="R11" i="157"/>
  <c r="Q11" i="157"/>
  <c r="P11" i="157"/>
  <c r="O11" i="157"/>
  <c r="O20" i="157" s="1"/>
  <c r="N11" i="157"/>
  <c r="N20" i="157" s="1"/>
  <c r="M11" i="157"/>
  <c r="L11" i="157"/>
  <c r="K11" i="157"/>
  <c r="J11" i="157"/>
  <c r="I11" i="157"/>
  <c r="I20" i="157" s="1"/>
  <c r="H11" i="157"/>
  <c r="H20" i="157" s="1"/>
  <c r="G11" i="157"/>
  <c r="F11" i="157"/>
  <c r="E11" i="157"/>
  <c r="D11" i="157"/>
  <c r="C11" i="157"/>
  <c r="C20" i="157" s="1"/>
  <c r="B11" i="157"/>
  <c r="B20" i="157" s="1"/>
  <c r="Z10" i="157"/>
  <c r="AB10" i="157" s="1"/>
  <c r="Z9" i="157"/>
  <c r="AB9" i="157" s="1"/>
  <c r="Z8" i="157"/>
  <c r="AB8" i="157" s="1"/>
  <c r="Z7" i="157"/>
  <c r="AB7" i="157" s="1"/>
  <c r="AB11" i="157" s="1"/>
  <c r="T20" i="156"/>
  <c r="N20" i="156"/>
  <c r="H20" i="156"/>
  <c r="B20" i="156"/>
  <c r="AA18" i="156"/>
  <c r="Y18" i="156"/>
  <c r="Y28" i="156" s="1"/>
  <c r="X18" i="156"/>
  <c r="X28" i="156" s="1"/>
  <c r="W18" i="156"/>
  <c r="V18" i="156"/>
  <c r="V28" i="156" s="1"/>
  <c r="U18" i="156"/>
  <c r="T18" i="156"/>
  <c r="T28" i="156" s="1"/>
  <c r="S18" i="156"/>
  <c r="S28" i="156" s="1"/>
  <c r="R18" i="156"/>
  <c r="R28" i="156" s="1"/>
  <c r="Q18" i="156"/>
  <c r="P18" i="156"/>
  <c r="P28" i="156" s="1"/>
  <c r="O18" i="156"/>
  <c r="N18" i="156"/>
  <c r="N28" i="156" s="1"/>
  <c r="M18" i="156"/>
  <c r="M28" i="156" s="1"/>
  <c r="L18" i="156"/>
  <c r="L28" i="156" s="1"/>
  <c r="K18" i="156"/>
  <c r="J18" i="156"/>
  <c r="J28" i="156" s="1"/>
  <c r="I18" i="156"/>
  <c r="H18" i="156"/>
  <c r="H28" i="156" s="1"/>
  <c r="G18" i="156"/>
  <c r="G28" i="156" s="1"/>
  <c r="F18" i="156"/>
  <c r="F28" i="156" s="1"/>
  <c r="E18" i="156"/>
  <c r="D18" i="156"/>
  <c r="D28" i="156" s="1"/>
  <c r="C18" i="156"/>
  <c r="B18" i="156"/>
  <c r="B28" i="156" s="1"/>
  <c r="AB17" i="156"/>
  <c r="Z17" i="156"/>
  <c r="AB16" i="156"/>
  <c r="Z16" i="156"/>
  <c r="AB15" i="156"/>
  <c r="Z15" i="156"/>
  <c r="AB14" i="156"/>
  <c r="AB18" i="156" s="1"/>
  <c r="Z14" i="156"/>
  <c r="Z18" i="156" s="1"/>
  <c r="AA11" i="156"/>
  <c r="Y11" i="156"/>
  <c r="Y20" i="156" s="1"/>
  <c r="X11" i="156"/>
  <c r="X20" i="156" s="1"/>
  <c r="W11" i="156"/>
  <c r="W20" i="156" s="1"/>
  <c r="V11" i="156"/>
  <c r="V20" i="156" s="1"/>
  <c r="U11" i="156"/>
  <c r="T11" i="156"/>
  <c r="S11" i="156"/>
  <c r="S20" i="156" s="1"/>
  <c r="R11" i="156"/>
  <c r="R20" i="156" s="1"/>
  <c r="Q11" i="156"/>
  <c r="Q20" i="156" s="1"/>
  <c r="P11" i="156"/>
  <c r="P20" i="156" s="1"/>
  <c r="O11" i="156"/>
  <c r="N11" i="156"/>
  <c r="M11" i="156"/>
  <c r="M20" i="156" s="1"/>
  <c r="L11" i="156"/>
  <c r="L20" i="156" s="1"/>
  <c r="K11" i="156"/>
  <c r="K20" i="156" s="1"/>
  <c r="J11" i="156"/>
  <c r="J20" i="156" s="1"/>
  <c r="I11" i="156"/>
  <c r="H11" i="156"/>
  <c r="G11" i="156"/>
  <c r="G20" i="156" s="1"/>
  <c r="F11" i="156"/>
  <c r="F20" i="156" s="1"/>
  <c r="E11" i="156"/>
  <c r="E20" i="156" s="1"/>
  <c r="D11" i="156"/>
  <c r="D20" i="156" s="1"/>
  <c r="C11" i="156"/>
  <c r="B11" i="156"/>
  <c r="Z10" i="156"/>
  <c r="AB10" i="156" s="1"/>
  <c r="Z9" i="156"/>
  <c r="AB9" i="156" s="1"/>
  <c r="Z8" i="156"/>
  <c r="AB8" i="156" s="1"/>
  <c r="Z7" i="156"/>
  <c r="AB7" i="156" s="1"/>
  <c r="AB11" i="156" s="1"/>
  <c r="P28" i="155"/>
  <c r="Y20" i="155"/>
  <c r="X20" i="155"/>
  <c r="S20" i="155"/>
  <c r="R20" i="155"/>
  <c r="M20" i="155"/>
  <c r="L20" i="155"/>
  <c r="G20" i="155"/>
  <c r="F20" i="155"/>
  <c r="AA18" i="155"/>
  <c r="Y18" i="155"/>
  <c r="Y28" i="155" s="1"/>
  <c r="X18" i="155"/>
  <c r="X28" i="155" s="1"/>
  <c r="W18" i="155"/>
  <c r="V18" i="155"/>
  <c r="V28" i="155" s="1"/>
  <c r="U18" i="155"/>
  <c r="T18" i="155"/>
  <c r="T28" i="155" s="1"/>
  <c r="S18" i="155"/>
  <c r="S28" i="155" s="1"/>
  <c r="R18" i="155"/>
  <c r="R28" i="155" s="1"/>
  <c r="Q18" i="155"/>
  <c r="P18" i="155"/>
  <c r="P29" i="155" s="1"/>
  <c r="O18" i="155"/>
  <c r="O28" i="155" s="1"/>
  <c r="N18" i="155"/>
  <c r="N28" i="155" s="1"/>
  <c r="M18" i="155"/>
  <c r="M28" i="155" s="1"/>
  <c r="L18" i="155"/>
  <c r="L28" i="155" s="1"/>
  <c r="K18" i="155"/>
  <c r="J18" i="155"/>
  <c r="J28" i="155" s="1"/>
  <c r="I18" i="155"/>
  <c r="I28" i="155" s="1"/>
  <c r="H18" i="155"/>
  <c r="H28" i="155" s="1"/>
  <c r="G18" i="155"/>
  <c r="G28" i="155" s="1"/>
  <c r="F18" i="155"/>
  <c r="F28" i="155" s="1"/>
  <c r="E18" i="155"/>
  <c r="D18" i="155"/>
  <c r="D28" i="155" s="1"/>
  <c r="C18" i="155"/>
  <c r="B18" i="155"/>
  <c r="B28" i="155" s="1"/>
  <c r="Z17" i="155"/>
  <c r="AB17" i="155" s="1"/>
  <c r="Z16" i="155"/>
  <c r="AB16" i="155" s="1"/>
  <c r="AB15" i="155"/>
  <c r="Z15" i="155"/>
  <c r="Z14" i="155"/>
  <c r="Z18" i="155" s="1"/>
  <c r="AA11" i="155"/>
  <c r="AA20" i="155" s="1"/>
  <c r="Y11" i="155"/>
  <c r="X11" i="155"/>
  <c r="W11" i="155"/>
  <c r="W20" i="155" s="1"/>
  <c r="V11" i="155"/>
  <c r="U11" i="155"/>
  <c r="U20" i="155" s="1"/>
  <c r="T11" i="155"/>
  <c r="T20" i="155" s="1"/>
  <c r="S11" i="155"/>
  <c r="R11" i="155"/>
  <c r="Q11" i="155"/>
  <c r="Q20" i="155" s="1"/>
  <c r="P11" i="155"/>
  <c r="O11" i="155"/>
  <c r="O20" i="155" s="1"/>
  <c r="N11" i="155"/>
  <c r="N20" i="155" s="1"/>
  <c r="M11" i="155"/>
  <c r="L11" i="155"/>
  <c r="K11" i="155"/>
  <c r="K20" i="155" s="1"/>
  <c r="J11" i="155"/>
  <c r="I11" i="155"/>
  <c r="I20" i="155" s="1"/>
  <c r="H11" i="155"/>
  <c r="H20" i="155" s="1"/>
  <c r="G11" i="155"/>
  <c r="F11" i="155"/>
  <c r="E11" i="155"/>
  <c r="E20" i="155" s="1"/>
  <c r="D11" i="155"/>
  <c r="C11" i="155"/>
  <c r="C20" i="155" s="1"/>
  <c r="B11" i="155"/>
  <c r="B20" i="155" s="1"/>
  <c r="Z10" i="155"/>
  <c r="AB10" i="155" s="1"/>
  <c r="AB9" i="155"/>
  <c r="Z9" i="155"/>
  <c r="Z8" i="155"/>
  <c r="AB8" i="155" s="1"/>
  <c r="Z7" i="155"/>
  <c r="AB7" i="155" s="1"/>
  <c r="AA18" i="154"/>
  <c r="AA28" i="154" s="1"/>
  <c r="Y18" i="154"/>
  <c r="Y28" i="154" s="1"/>
  <c r="X18" i="154"/>
  <c r="X28" i="154" s="1"/>
  <c r="W18" i="154"/>
  <c r="V18" i="154"/>
  <c r="V28" i="154" s="1"/>
  <c r="U18" i="154"/>
  <c r="T18" i="154"/>
  <c r="T28" i="154" s="1"/>
  <c r="S18" i="154"/>
  <c r="S28" i="154" s="1"/>
  <c r="R18" i="154"/>
  <c r="R28" i="154" s="1"/>
  <c r="Q18" i="154"/>
  <c r="P18" i="154"/>
  <c r="P28" i="154" s="1"/>
  <c r="O18" i="154"/>
  <c r="N18" i="154"/>
  <c r="N28" i="154" s="1"/>
  <c r="M18" i="154"/>
  <c r="M28" i="154" s="1"/>
  <c r="L18" i="154"/>
  <c r="L28" i="154" s="1"/>
  <c r="K18" i="154"/>
  <c r="J18" i="154"/>
  <c r="J28" i="154" s="1"/>
  <c r="I18" i="154"/>
  <c r="H18" i="154"/>
  <c r="H28" i="154" s="1"/>
  <c r="G18" i="154"/>
  <c r="G28" i="154" s="1"/>
  <c r="F18" i="154"/>
  <c r="F28" i="154" s="1"/>
  <c r="E18" i="154"/>
  <c r="D18" i="154"/>
  <c r="D28" i="154" s="1"/>
  <c r="C18" i="154"/>
  <c r="B18" i="154"/>
  <c r="B28" i="154" s="1"/>
  <c r="Z17" i="154"/>
  <c r="AB17" i="154" s="1"/>
  <c r="Z16" i="154"/>
  <c r="AB16" i="154" s="1"/>
  <c r="Z15" i="154"/>
  <c r="Z14" i="154"/>
  <c r="AA11" i="154"/>
  <c r="Y11" i="154"/>
  <c r="Y20" i="154" s="1"/>
  <c r="X11" i="154"/>
  <c r="W11" i="154"/>
  <c r="V11" i="154"/>
  <c r="V20" i="154" s="1"/>
  <c r="U11" i="154"/>
  <c r="T11" i="154"/>
  <c r="T20" i="154" s="1"/>
  <c r="S11" i="154"/>
  <c r="S20" i="154" s="1"/>
  <c r="R11" i="154"/>
  <c r="Q11" i="154"/>
  <c r="Q20" i="154" s="1"/>
  <c r="P11" i="154"/>
  <c r="P20" i="154" s="1"/>
  <c r="O11" i="154"/>
  <c r="N11" i="154"/>
  <c r="N20" i="154" s="1"/>
  <c r="M11" i="154"/>
  <c r="M20" i="154" s="1"/>
  <c r="L11" i="154"/>
  <c r="L20" i="154" s="1"/>
  <c r="K11" i="154"/>
  <c r="K20" i="154" s="1"/>
  <c r="J11" i="154"/>
  <c r="J20" i="154" s="1"/>
  <c r="I11" i="154"/>
  <c r="H11" i="154"/>
  <c r="H20" i="154" s="1"/>
  <c r="G11" i="154"/>
  <c r="G20" i="154" s="1"/>
  <c r="F11" i="154"/>
  <c r="F20" i="154" s="1"/>
  <c r="E11" i="154"/>
  <c r="E20" i="154" s="1"/>
  <c r="D11" i="154"/>
  <c r="D20" i="154" s="1"/>
  <c r="C11" i="154"/>
  <c r="B11" i="154"/>
  <c r="B20" i="154" s="1"/>
  <c r="Z10" i="154"/>
  <c r="AB10" i="154" s="1"/>
  <c r="Z9" i="154"/>
  <c r="AB9" i="154" s="1"/>
  <c r="Z8" i="154"/>
  <c r="AB8" i="154" s="1"/>
  <c r="Z7" i="154"/>
  <c r="AB7" i="154" s="1"/>
  <c r="AA18" i="153"/>
  <c r="AA28" i="153" s="1"/>
  <c r="Y18" i="153"/>
  <c r="Y28" i="153" s="1"/>
  <c r="X18" i="153"/>
  <c r="X28" i="153" s="1"/>
  <c r="W18" i="153"/>
  <c r="W28" i="153" s="1"/>
  <c r="V18" i="153"/>
  <c r="V28" i="153" s="1"/>
  <c r="U18" i="153"/>
  <c r="U28" i="153" s="1"/>
  <c r="T18" i="153"/>
  <c r="T28" i="153" s="1"/>
  <c r="S18" i="153"/>
  <c r="S28" i="153" s="1"/>
  <c r="R18" i="153"/>
  <c r="R28" i="153" s="1"/>
  <c r="Q18" i="153"/>
  <c r="Q28" i="153" s="1"/>
  <c r="P18" i="153"/>
  <c r="P28" i="153" s="1"/>
  <c r="O18" i="153"/>
  <c r="O28" i="153" s="1"/>
  <c r="N18" i="153"/>
  <c r="N28" i="153" s="1"/>
  <c r="M18" i="153"/>
  <c r="M28" i="153" s="1"/>
  <c r="L18" i="153"/>
  <c r="L28" i="153" s="1"/>
  <c r="K18" i="153"/>
  <c r="K28" i="153" s="1"/>
  <c r="J18" i="153"/>
  <c r="J28" i="153" s="1"/>
  <c r="I18" i="153"/>
  <c r="I28" i="153" s="1"/>
  <c r="H18" i="153"/>
  <c r="H28" i="153" s="1"/>
  <c r="G18" i="153"/>
  <c r="G28" i="153" s="1"/>
  <c r="F18" i="153"/>
  <c r="F28" i="153" s="1"/>
  <c r="E18" i="153"/>
  <c r="E28" i="153" s="1"/>
  <c r="D18" i="153"/>
  <c r="D28" i="153" s="1"/>
  <c r="C18" i="153"/>
  <c r="C28" i="153" s="1"/>
  <c r="B18" i="153"/>
  <c r="B28" i="153" s="1"/>
  <c r="Z17" i="153"/>
  <c r="AB17" i="153" s="1"/>
  <c r="Z16" i="153"/>
  <c r="AB16" i="153" s="1"/>
  <c r="Z15" i="153"/>
  <c r="AB15" i="153" s="1"/>
  <c r="Z14" i="153"/>
  <c r="AA11" i="153"/>
  <c r="Y11" i="153"/>
  <c r="X11" i="153"/>
  <c r="X20" i="153" s="1"/>
  <c r="W11" i="153"/>
  <c r="W20" i="153" s="1"/>
  <c r="V11" i="153"/>
  <c r="V20" i="153" s="1"/>
  <c r="U11" i="153"/>
  <c r="U20" i="153" s="1"/>
  <c r="T11" i="153"/>
  <c r="T20" i="153" s="1"/>
  <c r="S11" i="153"/>
  <c r="S20" i="153" s="1"/>
  <c r="R11" i="153"/>
  <c r="R20" i="153" s="1"/>
  <c r="Q11" i="153"/>
  <c r="Q20" i="153" s="1"/>
  <c r="P11" i="153"/>
  <c r="P20" i="153" s="1"/>
  <c r="O11" i="153"/>
  <c r="O20" i="153" s="1"/>
  <c r="N11" i="153"/>
  <c r="N20" i="153" s="1"/>
  <c r="M11" i="153"/>
  <c r="M20" i="153" s="1"/>
  <c r="L11" i="153"/>
  <c r="L20" i="153" s="1"/>
  <c r="K11" i="153"/>
  <c r="K20" i="153" s="1"/>
  <c r="J11" i="153"/>
  <c r="J20" i="153" s="1"/>
  <c r="I11" i="153"/>
  <c r="I20" i="153" s="1"/>
  <c r="H11" i="153"/>
  <c r="H20" i="153" s="1"/>
  <c r="G11" i="153"/>
  <c r="G20" i="153" s="1"/>
  <c r="F11" i="153"/>
  <c r="F20" i="153" s="1"/>
  <c r="E11" i="153"/>
  <c r="E20" i="153" s="1"/>
  <c r="D11" i="153"/>
  <c r="D20" i="153" s="1"/>
  <c r="C11" i="153"/>
  <c r="C20" i="153" s="1"/>
  <c r="B11" i="153"/>
  <c r="B20" i="153" s="1"/>
  <c r="Z10" i="153"/>
  <c r="AB10" i="153" s="1"/>
  <c r="Z9" i="153"/>
  <c r="AB9" i="153" s="1"/>
  <c r="Z8" i="153"/>
  <c r="AB8" i="153" s="1"/>
  <c r="Z7" i="153"/>
  <c r="Z7" i="152"/>
  <c r="AB7" i="152" s="1"/>
  <c r="AA18" i="152"/>
  <c r="Y18" i="152"/>
  <c r="X18" i="152"/>
  <c r="W18" i="152"/>
  <c r="V18" i="152"/>
  <c r="U18" i="152"/>
  <c r="T18" i="152"/>
  <c r="S18" i="152"/>
  <c r="R18" i="152"/>
  <c r="Q18" i="152"/>
  <c r="P18" i="152"/>
  <c r="O18" i="152"/>
  <c r="N18" i="152"/>
  <c r="M18" i="152"/>
  <c r="L18" i="152"/>
  <c r="K18" i="152"/>
  <c r="J18" i="152"/>
  <c r="I18" i="152"/>
  <c r="H18" i="152"/>
  <c r="G18" i="152"/>
  <c r="F18" i="152"/>
  <c r="E18" i="152"/>
  <c r="D18" i="152"/>
  <c r="C18" i="152"/>
  <c r="B18" i="152"/>
  <c r="Z17" i="152"/>
  <c r="AB17" i="152" s="1"/>
  <c r="Z16" i="152"/>
  <c r="AB16" i="152" s="1"/>
  <c r="Z15" i="152"/>
  <c r="AB15" i="152" s="1"/>
  <c r="Z14" i="152"/>
  <c r="AA11" i="152"/>
  <c r="Y11" i="152"/>
  <c r="Y20" i="152" s="1"/>
  <c r="X11" i="152"/>
  <c r="X20" i="152" s="1"/>
  <c r="W11" i="152"/>
  <c r="W20" i="152" s="1"/>
  <c r="V11" i="152"/>
  <c r="U11" i="152"/>
  <c r="T11" i="152"/>
  <c r="S11" i="152"/>
  <c r="S20" i="152" s="1"/>
  <c r="R11" i="152"/>
  <c r="Q11" i="152"/>
  <c r="Q20" i="152" s="1"/>
  <c r="P11" i="152"/>
  <c r="O11" i="152"/>
  <c r="N11" i="152"/>
  <c r="N20" i="152" s="1"/>
  <c r="M11" i="152"/>
  <c r="M20" i="152" s="1"/>
  <c r="L11" i="152"/>
  <c r="L20" i="152" s="1"/>
  <c r="K11" i="152"/>
  <c r="K20" i="152" s="1"/>
  <c r="J11" i="152"/>
  <c r="I11" i="152"/>
  <c r="H11" i="152"/>
  <c r="H20" i="152" s="1"/>
  <c r="G11" i="152"/>
  <c r="G20" i="152" s="1"/>
  <c r="F11" i="152"/>
  <c r="E11" i="152"/>
  <c r="E20" i="152" s="1"/>
  <c r="D11" i="152"/>
  <c r="C11" i="152"/>
  <c r="B11" i="152"/>
  <c r="Z10" i="152"/>
  <c r="AB10" i="152" s="1"/>
  <c r="Z9" i="152"/>
  <c r="AB9" i="152" s="1"/>
  <c r="Z8" i="152"/>
  <c r="AB8" i="152" s="1"/>
  <c r="W20" i="154" l="1"/>
  <c r="Z18" i="154"/>
  <c r="O20" i="154"/>
  <c r="C20" i="154"/>
  <c r="Y20" i="153"/>
  <c r="AA20" i="153"/>
  <c r="B29" i="152"/>
  <c r="AA20" i="157"/>
  <c r="B18" i="105"/>
  <c r="P38" i="157"/>
  <c r="Y29" i="157"/>
  <c r="Y30" i="157" s="1"/>
  <c r="C29" i="157"/>
  <c r="I30" i="157"/>
  <c r="K38" i="157"/>
  <c r="U29" i="157"/>
  <c r="G29" i="157"/>
  <c r="G30" i="157" s="1"/>
  <c r="T30" i="157"/>
  <c r="H38" i="157"/>
  <c r="AB18" i="157"/>
  <c r="AB20" i="157" s="1"/>
  <c r="V29" i="157"/>
  <c r="M29" i="157"/>
  <c r="M30" i="157"/>
  <c r="Q29" i="157"/>
  <c r="S29" i="157"/>
  <c r="S30" i="157" s="1"/>
  <c r="E38" i="157"/>
  <c r="K29" i="157"/>
  <c r="F29" i="157"/>
  <c r="F30" i="157"/>
  <c r="L29" i="157"/>
  <c r="L30" i="157"/>
  <c r="F38" i="157"/>
  <c r="R29" i="157"/>
  <c r="R30" i="157" s="1"/>
  <c r="C38" i="157"/>
  <c r="X29" i="157"/>
  <c r="X30" i="157" s="1"/>
  <c r="Z11" i="157"/>
  <c r="Z20" i="157" s="1"/>
  <c r="C28" i="157"/>
  <c r="E28" i="157"/>
  <c r="K28" i="157"/>
  <c r="Q28" i="157"/>
  <c r="W28" i="157"/>
  <c r="W29" i="157" s="1"/>
  <c r="B29" i="157"/>
  <c r="H29" i="157"/>
  <c r="H30" i="157" s="1"/>
  <c r="N29" i="157"/>
  <c r="N30" i="157" s="1"/>
  <c r="T29" i="157"/>
  <c r="U28" i="157"/>
  <c r="P28" i="157"/>
  <c r="P29" i="157" s="1"/>
  <c r="I29" i="157"/>
  <c r="O29" i="157"/>
  <c r="O30" i="157" s="1"/>
  <c r="D28" i="157"/>
  <c r="J28" i="157"/>
  <c r="J29" i="157" s="1"/>
  <c r="V28" i="157"/>
  <c r="D20" i="157"/>
  <c r="J20" i="157"/>
  <c r="P20" i="157"/>
  <c r="V20" i="157"/>
  <c r="W20" i="157"/>
  <c r="P38" i="156"/>
  <c r="B30" i="156"/>
  <c r="B29" i="156"/>
  <c r="H30" i="156"/>
  <c r="H29" i="156"/>
  <c r="N29" i="156"/>
  <c r="N30" i="156" s="1"/>
  <c r="T29" i="156"/>
  <c r="T30" i="156" s="1"/>
  <c r="H38" i="156"/>
  <c r="AB20" i="156"/>
  <c r="O29" i="156"/>
  <c r="O38" i="156"/>
  <c r="D29" i="156"/>
  <c r="D30" i="156"/>
  <c r="J29" i="156"/>
  <c r="J30" i="156" s="1"/>
  <c r="L38" i="156"/>
  <c r="P29" i="156"/>
  <c r="G38" i="156"/>
  <c r="P30" i="156"/>
  <c r="I38" i="156"/>
  <c r="V29" i="156"/>
  <c r="V30" i="156"/>
  <c r="S30" i="156"/>
  <c r="E38" i="156"/>
  <c r="K29" i="156"/>
  <c r="F38" i="156"/>
  <c r="C38" i="156"/>
  <c r="X30" i="156"/>
  <c r="Z11" i="156"/>
  <c r="Z20" i="156" s="1"/>
  <c r="C28" i="156"/>
  <c r="C29" i="156" s="1"/>
  <c r="I28" i="156"/>
  <c r="O28" i="156"/>
  <c r="U28" i="156"/>
  <c r="F29" i="156"/>
  <c r="F30" i="156" s="1"/>
  <c r="L29" i="156"/>
  <c r="L30" i="156" s="1"/>
  <c r="R29" i="156"/>
  <c r="R30" i="156" s="1"/>
  <c r="X29" i="156"/>
  <c r="G29" i="156"/>
  <c r="G30" i="156" s="1"/>
  <c r="M29" i="156"/>
  <c r="M30" i="156" s="1"/>
  <c r="S29" i="156"/>
  <c r="Y29" i="156"/>
  <c r="Y30" i="156" s="1"/>
  <c r="E28" i="156"/>
  <c r="M38" i="156" s="1"/>
  <c r="K28" i="156"/>
  <c r="Q28" i="156"/>
  <c r="W28" i="156"/>
  <c r="C20" i="156"/>
  <c r="I20" i="156"/>
  <c r="O20" i="156"/>
  <c r="U20" i="156"/>
  <c r="AA20" i="156"/>
  <c r="L38" i="155"/>
  <c r="I38" i="155"/>
  <c r="Q29" i="155"/>
  <c r="P30" i="155"/>
  <c r="F29" i="155"/>
  <c r="F30" i="155" s="1"/>
  <c r="R29" i="155"/>
  <c r="R30" i="155"/>
  <c r="M29" i="155"/>
  <c r="M30" i="155"/>
  <c r="P38" i="155"/>
  <c r="Y29" i="155"/>
  <c r="Y30" i="155" s="1"/>
  <c r="B30" i="155"/>
  <c r="M38" i="155"/>
  <c r="H38" i="155"/>
  <c r="R38" i="155"/>
  <c r="AA30" i="155"/>
  <c r="W29" i="155"/>
  <c r="F38" i="155"/>
  <c r="L29" i="155"/>
  <c r="L30" i="155"/>
  <c r="X29" i="155"/>
  <c r="X30" i="155" s="1"/>
  <c r="C38" i="155"/>
  <c r="G29" i="155"/>
  <c r="G30" i="155" s="1"/>
  <c r="S29" i="155"/>
  <c r="E38" i="155"/>
  <c r="S30" i="155"/>
  <c r="AB11" i="155"/>
  <c r="C29" i="155"/>
  <c r="K38" i="155"/>
  <c r="U29" i="155"/>
  <c r="E28" i="155"/>
  <c r="E29" i="155" s="1"/>
  <c r="K28" i="155"/>
  <c r="K29" i="155" s="1"/>
  <c r="Q28" i="155"/>
  <c r="W28" i="155"/>
  <c r="B29" i="155"/>
  <c r="H29" i="155"/>
  <c r="H30" i="155" s="1"/>
  <c r="N29" i="155"/>
  <c r="N30" i="155" s="1"/>
  <c r="T29" i="155"/>
  <c r="T30" i="155" s="1"/>
  <c r="G38" i="155"/>
  <c r="I29" i="155"/>
  <c r="I30" i="155" s="1"/>
  <c r="O29" i="155"/>
  <c r="O30" i="155" s="1"/>
  <c r="AA29" i="155"/>
  <c r="AB14" i="155"/>
  <c r="AB18" i="155" s="1"/>
  <c r="D20" i="155"/>
  <c r="J20" i="155"/>
  <c r="P20" i="155"/>
  <c r="V20" i="155"/>
  <c r="D29" i="155"/>
  <c r="D30" i="155" s="1"/>
  <c r="J29" i="155"/>
  <c r="J30" i="155" s="1"/>
  <c r="V29" i="155"/>
  <c r="V30" i="155" s="1"/>
  <c r="Z11" i="155"/>
  <c r="Z20" i="155" s="1"/>
  <c r="C28" i="155"/>
  <c r="U28" i="155"/>
  <c r="F38" i="154"/>
  <c r="C38" i="154"/>
  <c r="E38" i="154"/>
  <c r="P38" i="154"/>
  <c r="B29" i="154"/>
  <c r="B30" i="154" s="1"/>
  <c r="H29" i="154"/>
  <c r="H30" i="154" s="1"/>
  <c r="N29" i="154"/>
  <c r="N30" i="154" s="1"/>
  <c r="T29" i="154"/>
  <c r="T30" i="154" s="1"/>
  <c r="H38" i="154"/>
  <c r="AB11" i="154"/>
  <c r="D29" i="154"/>
  <c r="D30" i="154" s="1"/>
  <c r="J29" i="154"/>
  <c r="J30" i="154" s="1"/>
  <c r="L38" i="154"/>
  <c r="G38" i="154"/>
  <c r="P29" i="154"/>
  <c r="P30" i="154" s="1"/>
  <c r="I38" i="154"/>
  <c r="V29" i="154"/>
  <c r="V30" i="154" s="1"/>
  <c r="Z11" i="154"/>
  <c r="R20" i="154"/>
  <c r="X20" i="154"/>
  <c r="C28" i="154"/>
  <c r="C29" i="154" s="1"/>
  <c r="I28" i="154"/>
  <c r="O28" i="154"/>
  <c r="U28" i="154"/>
  <c r="AA29" i="154"/>
  <c r="F29" i="154"/>
  <c r="F30" i="154" s="1"/>
  <c r="L29" i="154"/>
  <c r="L30" i="154" s="1"/>
  <c r="R29" i="154"/>
  <c r="R30" i="154" s="1"/>
  <c r="X29" i="154"/>
  <c r="X30" i="154" s="1"/>
  <c r="G29" i="154"/>
  <c r="G30" i="154" s="1"/>
  <c r="M29" i="154"/>
  <c r="M30" i="154" s="1"/>
  <c r="S29" i="154"/>
  <c r="S30" i="154" s="1"/>
  <c r="Y29" i="154"/>
  <c r="Y30" i="154" s="1"/>
  <c r="E28" i="154"/>
  <c r="Q28" i="154"/>
  <c r="Q29" i="154" s="1"/>
  <c r="I20" i="154"/>
  <c r="U20" i="154"/>
  <c r="AA20" i="154"/>
  <c r="O29" i="154"/>
  <c r="AB14" i="154"/>
  <c r="AB18" i="154" s="1"/>
  <c r="K28" i="154"/>
  <c r="W28" i="154"/>
  <c r="W29" i="154" s="1"/>
  <c r="AB7" i="153"/>
  <c r="AB11" i="153" s="1"/>
  <c r="Z11" i="153"/>
  <c r="AA29" i="153"/>
  <c r="Y29" i="153"/>
  <c r="X29" i="153"/>
  <c r="W29" i="153"/>
  <c r="V29" i="153"/>
  <c r="U29" i="153"/>
  <c r="T29" i="153"/>
  <c r="S29" i="153"/>
  <c r="R29" i="153"/>
  <c r="R30" i="153" s="1"/>
  <c r="Q29" i="153"/>
  <c r="P29" i="153"/>
  <c r="O29" i="153"/>
  <c r="N29" i="153"/>
  <c r="M29" i="153"/>
  <c r="M30" i="153" s="1"/>
  <c r="L29" i="153"/>
  <c r="K29" i="153"/>
  <c r="K30" i="153" s="1"/>
  <c r="J29" i="153"/>
  <c r="I29" i="153"/>
  <c r="H29" i="153"/>
  <c r="H30" i="153" s="1"/>
  <c r="G29" i="153"/>
  <c r="G30" i="153" s="1"/>
  <c r="F29" i="153"/>
  <c r="E29" i="153"/>
  <c r="E30" i="153" s="1"/>
  <c r="D29" i="153"/>
  <c r="C29" i="153"/>
  <c r="B29" i="153"/>
  <c r="AB14" i="153"/>
  <c r="AB18" i="153" s="1"/>
  <c r="Z18" i="153"/>
  <c r="R20" i="152"/>
  <c r="T20" i="152"/>
  <c r="F20" i="152"/>
  <c r="B20" i="152"/>
  <c r="D20" i="152"/>
  <c r="AA20" i="152"/>
  <c r="V20" i="152"/>
  <c r="C20" i="152"/>
  <c r="I20" i="152"/>
  <c r="O20" i="152"/>
  <c r="U20" i="152"/>
  <c r="Z18" i="152"/>
  <c r="J20" i="152"/>
  <c r="P20" i="152"/>
  <c r="AB14" i="152"/>
  <c r="AB18" i="152" s="1"/>
  <c r="D29" i="152"/>
  <c r="D30" i="152" s="1"/>
  <c r="J29" i="152"/>
  <c r="J30" i="152" s="1"/>
  <c r="L38" i="152"/>
  <c r="P29" i="152"/>
  <c r="P30" i="152" s="1"/>
  <c r="G38" i="152"/>
  <c r="I38" i="152"/>
  <c r="V29" i="152"/>
  <c r="V30" i="152" s="1"/>
  <c r="F38" i="152"/>
  <c r="C38" i="152"/>
  <c r="E38" i="152"/>
  <c r="P38" i="152"/>
  <c r="AB11" i="152"/>
  <c r="H38" i="152"/>
  <c r="AA29" i="152"/>
  <c r="F29" i="152"/>
  <c r="F30" i="152" s="1"/>
  <c r="L29" i="152"/>
  <c r="L30" i="152" s="1"/>
  <c r="R29" i="152"/>
  <c r="R30" i="152" s="1"/>
  <c r="X29" i="152"/>
  <c r="X30" i="152" s="1"/>
  <c r="Z11" i="152"/>
  <c r="M29" i="152"/>
  <c r="M30" i="152" s="1"/>
  <c r="S29" i="152"/>
  <c r="S30" i="152" s="1"/>
  <c r="Y29" i="152"/>
  <c r="Y30" i="152" s="1"/>
  <c r="M38" i="152"/>
  <c r="Q29" i="152"/>
  <c r="B30" i="152"/>
  <c r="H29" i="152"/>
  <c r="H30" i="152" s="1"/>
  <c r="N29" i="152"/>
  <c r="N30" i="152" s="1"/>
  <c r="T29" i="152"/>
  <c r="T30" i="152" s="1"/>
  <c r="Z8" i="151"/>
  <c r="AB8" i="151" s="1"/>
  <c r="B28" i="150"/>
  <c r="Y28" i="150"/>
  <c r="X28" i="150"/>
  <c r="W28" i="150"/>
  <c r="V28" i="150"/>
  <c r="V28" i="105" s="1"/>
  <c r="U28" i="150"/>
  <c r="U28" i="105" s="1"/>
  <c r="T28" i="150"/>
  <c r="T28" i="105" s="1"/>
  <c r="S28" i="150"/>
  <c r="R28" i="150"/>
  <c r="Q28" i="150"/>
  <c r="P28" i="150"/>
  <c r="P28" i="105" s="1"/>
  <c r="O28" i="150"/>
  <c r="O28" i="105" s="1"/>
  <c r="N28" i="150"/>
  <c r="N28" i="105" s="1"/>
  <c r="M28" i="150"/>
  <c r="L28" i="150"/>
  <c r="K28" i="150"/>
  <c r="J28" i="150"/>
  <c r="J28" i="105" s="1"/>
  <c r="I28" i="150"/>
  <c r="I28" i="105" s="1"/>
  <c r="H28" i="150"/>
  <c r="H28" i="105" s="1"/>
  <c r="G28" i="150"/>
  <c r="F28" i="150"/>
  <c r="E28" i="150"/>
  <c r="D28" i="150"/>
  <c r="D28" i="105" s="1"/>
  <c r="C28" i="150"/>
  <c r="Z28" i="150" s="1"/>
  <c r="AB28" i="150" s="1"/>
  <c r="AB33" i="150" s="1"/>
  <c r="B28" i="105"/>
  <c r="B18" i="150"/>
  <c r="Z15" i="151"/>
  <c r="AB15" i="151" s="1"/>
  <c r="Y11" i="151"/>
  <c r="X11" i="151"/>
  <c r="W11" i="151"/>
  <c r="V11" i="151"/>
  <c r="U11" i="151"/>
  <c r="T11" i="151"/>
  <c r="S11" i="151"/>
  <c r="R11" i="151"/>
  <c r="Q11" i="151"/>
  <c r="P11" i="151"/>
  <c r="O11" i="151"/>
  <c r="N11" i="151"/>
  <c r="M11" i="151"/>
  <c r="L11" i="151"/>
  <c r="K11" i="151"/>
  <c r="J11" i="151"/>
  <c r="I11" i="151"/>
  <c r="H11" i="151"/>
  <c r="G11" i="151"/>
  <c r="F11" i="151"/>
  <c r="E11" i="151"/>
  <c r="D11" i="151"/>
  <c r="C11" i="151"/>
  <c r="B11" i="151"/>
  <c r="AA18" i="151"/>
  <c r="Y18" i="151"/>
  <c r="Y28" i="151" s="1"/>
  <c r="X18" i="151"/>
  <c r="X28" i="151" s="1"/>
  <c r="W18" i="151"/>
  <c r="V18" i="151"/>
  <c r="U18" i="151"/>
  <c r="T18" i="151"/>
  <c r="T28" i="151" s="1"/>
  <c r="S18" i="151"/>
  <c r="S28" i="151" s="1"/>
  <c r="R18" i="151"/>
  <c r="R28" i="151" s="1"/>
  <c r="Q18" i="151"/>
  <c r="P18" i="151"/>
  <c r="O18" i="151"/>
  <c r="N18" i="151"/>
  <c r="N28" i="151" s="1"/>
  <c r="M18" i="151"/>
  <c r="M28" i="151" s="1"/>
  <c r="L18" i="151"/>
  <c r="K18" i="151"/>
  <c r="J18" i="151"/>
  <c r="I18" i="151"/>
  <c r="H18" i="151"/>
  <c r="H28" i="151" s="1"/>
  <c r="G18" i="151"/>
  <c r="G28" i="151" s="1"/>
  <c r="F18" i="151"/>
  <c r="E18" i="151"/>
  <c r="D18" i="151"/>
  <c r="C18" i="151"/>
  <c r="C20" i="151" s="1"/>
  <c r="B18" i="151"/>
  <c r="B28" i="151" s="1"/>
  <c r="Z17" i="151"/>
  <c r="AB17" i="151" s="1"/>
  <c r="Z16" i="151"/>
  <c r="AB16" i="151" s="1"/>
  <c r="Z14" i="151"/>
  <c r="AA11" i="151"/>
  <c r="Z10" i="151"/>
  <c r="AB10" i="151" s="1"/>
  <c r="Z9" i="151"/>
  <c r="AB9" i="151" s="1"/>
  <c r="Z7" i="151"/>
  <c r="AB7" i="151" s="1"/>
  <c r="AA29" i="105"/>
  <c r="AA28" i="105"/>
  <c r="Y28" i="105"/>
  <c r="X28" i="105"/>
  <c r="W28" i="105"/>
  <c r="S28" i="105"/>
  <c r="R28" i="105"/>
  <c r="Q28" i="105"/>
  <c r="M28" i="105"/>
  <c r="L28" i="105"/>
  <c r="K28" i="105"/>
  <c r="G28" i="105"/>
  <c r="F28" i="105"/>
  <c r="E28" i="105"/>
  <c r="AA18" i="150"/>
  <c r="Y18" i="150"/>
  <c r="Y20" i="150" s="1"/>
  <c r="X18" i="150"/>
  <c r="C38" i="150" s="1"/>
  <c r="W18" i="150"/>
  <c r="W20" i="150" s="1"/>
  <c r="V18" i="150"/>
  <c r="U18" i="150"/>
  <c r="N38" i="150" s="1"/>
  <c r="T18" i="150"/>
  <c r="S18" i="150"/>
  <c r="R18" i="150"/>
  <c r="Q18" i="150"/>
  <c r="P18" i="150"/>
  <c r="O18" i="150"/>
  <c r="O20" i="150" s="1"/>
  <c r="N18" i="150"/>
  <c r="N20" i="150" s="1"/>
  <c r="M18" i="150"/>
  <c r="L18" i="150"/>
  <c r="L20" i="150" s="1"/>
  <c r="K18" i="150"/>
  <c r="K20" i="150" s="1"/>
  <c r="J18" i="150"/>
  <c r="J20" i="150" s="1"/>
  <c r="I18" i="150"/>
  <c r="I20" i="150" s="1"/>
  <c r="H18" i="150"/>
  <c r="G18" i="150"/>
  <c r="G20" i="150" s="1"/>
  <c r="F18" i="150"/>
  <c r="E18" i="150"/>
  <c r="D18" i="150"/>
  <c r="C18" i="150"/>
  <c r="Z17" i="150"/>
  <c r="AB17" i="150" s="1"/>
  <c r="Z16" i="150"/>
  <c r="AB16" i="150" s="1"/>
  <c r="Z15" i="150"/>
  <c r="AB15" i="150" s="1"/>
  <c r="Z14" i="150"/>
  <c r="AA11" i="150"/>
  <c r="Z10" i="150"/>
  <c r="AB10" i="150" s="1"/>
  <c r="Z9" i="150"/>
  <c r="AB9" i="150" s="1"/>
  <c r="Z8" i="150"/>
  <c r="AB8" i="150" s="1"/>
  <c r="Z7" i="150"/>
  <c r="Z20" i="154" l="1"/>
  <c r="Z28" i="154"/>
  <c r="AB28" i="154" s="1"/>
  <c r="AB33" i="154" s="1"/>
  <c r="Z20" i="153"/>
  <c r="AB20" i="153"/>
  <c r="O38" i="157"/>
  <c r="E30" i="157"/>
  <c r="C40" i="157"/>
  <c r="C41" i="157" s="1"/>
  <c r="E40" i="157"/>
  <c r="E41" i="157" s="1"/>
  <c r="M38" i="157"/>
  <c r="R38" i="157"/>
  <c r="Z28" i="157"/>
  <c r="Z29" i="157"/>
  <c r="AB29" i="157" s="1"/>
  <c r="J38" i="157"/>
  <c r="C30" i="157"/>
  <c r="K40" i="157"/>
  <c r="K41" i="157" s="1"/>
  <c r="B30" i="157"/>
  <c r="P30" i="157"/>
  <c r="G38" i="157"/>
  <c r="B38" i="157"/>
  <c r="W30" i="157"/>
  <c r="F41" i="157"/>
  <c r="F40" i="157"/>
  <c r="D29" i="157"/>
  <c r="D30" i="157" s="1"/>
  <c r="I38" i="157"/>
  <c r="V30" i="157"/>
  <c r="N38" i="157"/>
  <c r="U30" i="157"/>
  <c r="D38" i="157"/>
  <c r="Q30" i="157"/>
  <c r="E29" i="157"/>
  <c r="L38" i="157"/>
  <c r="J30" i="157"/>
  <c r="K30" i="157"/>
  <c r="H40" i="157"/>
  <c r="H41" i="157" s="1"/>
  <c r="AA29" i="157"/>
  <c r="AA30" i="157" s="1"/>
  <c r="P40" i="157"/>
  <c r="P41" i="157"/>
  <c r="M40" i="156"/>
  <c r="M41" i="156"/>
  <c r="E40" i="156"/>
  <c r="E41" i="156"/>
  <c r="G40" i="156"/>
  <c r="G41" i="156"/>
  <c r="I30" i="156"/>
  <c r="J38" i="156"/>
  <c r="C30" i="156"/>
  <c r="E29" i="156"/>
  <c r="Z29" i="156" s="1"/>
  <c r="I29" i="156"/>
  <c r="B38" i="156"/>
  <c r="R38" i="156"/>
  <c r="O40" i="156"/>
  <c r="O41" i="156"/>
  <c r="Z28" i="156"/>
  <c r="D38" i="156"/>
  <c r="Q30" i="156"/>
  <c r="N38" i="156"/>
  <c r="C40" i="156"/>
  <c r="C41" i="156" s="1"/>
  <c r="W29" i="156"/>
  <c r="W30" i="156" s="1"/>
  <c r="K30" i="156"/>
  <c r="K38" i="156"/>
  <c r="O30" i="156"/>
  <c r="Q29" i="156"/>
  <c r="L40" i="156"/>
  <c r="L41" i="156" s="1"/>
  <c r="U29" i="156"/>
  <c r="U30" i="156" s="1"/>
  <c r="AA29" i="156"/>
  <c r="AA30" i="156" s="1"/>
  <c r="E30" i="156"/>
  <c r="F41" i="156"/>
  <c r="F40" i="156"/>
  <c r="I40" i="156"/>
  <c r="I41" i="156"/>
  <c r="H40" i="156"/>
  <c r="H41" i="156" s="1"/>
  <c r="P40" i="156"/>
  <c r="P41" i="156" s="1"/>
  <c r="AB20" i="155"/>
  <c r="Z28" i="155"/>
  <c r="H40" i="155"/>
  <c r="H41" i="155" s="1"/>
  <c r="I40" i="155"/>
  <c r="I41" i="155" s="1"/>
  <c r="U30" i="155"/>
  <c r="N38" i="155"/>
  <c r="Z29" i="155"/>
  <c r="AB29" i="155" s="1"/>
  <c r="E40" i="155"/>
  <c r="E41" i="155"/>
  <c r="K30" i="155"/>
  <c r="M40" i="155"/>
  <c r="M41" i="155" s="1"/>
  <c r="J38" i="155"/>
  <c r="C30" i="155"/>
  <c r="B38" i="155"/>
  <c r="W30" i="155"/>
  <c r="K40" i="155"/>
  <c r="K41" i="155" s="1"/>
  <c r="O38" i="155"/>
  <c r="F40" i="155"/>
  <c r="F41" i="155" s="1"/>
  <c r="E30" i="155"/>
  <c r="C40" i="155"/>
  <c r="C41" i="155" s="1"/>
  <c r="R40" i="155"/>
  <c r="R41" i="155" s="1"/>
  <c r="G40" i="155"/>
  <c r="G41" i="155" s="1"/>
  <c r="D38" i="155"/>
  <c r="Q30" i="155"/>
  <c r="P40" i="155"/>
  <c r="P41" i="155"/>
  <c r="L41" i="155"/>
  <c r="L40" i="155"/>
  <c r="AB20" i="154"/>
  <c r="B38" i="154"/>
  <c r="W30" i="154"/>
  <c r="R38" i="154"/>
  <c r="AA30" i="154"/>
  <c r="H40" i="154"/>
  <c r="H41" i="154" s="1"/>
  <c r="P40" i="154"/>
  <c r="P41" i="154"/>
  <c r="C40" i="154"/>
  <c r="C41" i="154" s="1"/>
  <c r="I29" i="154"/>
  <c r="I30" i="154" s="1"/>
  <c r="I40" i="154"/>
  <c r="I41" i="154" s="1"/>
  <c r="N38" i="154"/>
  <c r="G40" i="154"/>
  <c r="G41" i="154" s="1"/>
  <c r="O38" i="154"/>
  <c r="E40" i="154"/>
  <c r="E41" i="154" s="1"/>
  <c r="K29" i="154"/>
  <c r="K30" i="154" s="1"/>
  <c r="L40" i="154"/>
  <c r="L41" i="154" s="1"/>
  <c r="J38" i="154"/>
  <c r="C30" i="154"/>
  <c r="D38" i="154"/>
  <c r="Q30" i="154"/>
  <c r="K38" i="154"/>
  <c r="O30" i="154"/>
  <c r="U29" i="154"/>
  <c r="U30" i="154" s="1"/>
  <c r="M38" i="154"/>
  <c r="F40" i="154"/>
  <c r="F41" i="154" s="1"/>
  <c r="E29" i="154"/>
  <c r="E30" i="154" s="1"/>
  <c r="AA30" i="153"/>
  <c r="R38" i="153"/>
  <c r="Y30" i="153"/>
  <c r="P38" i="153"/>
  <c r="C38" i="153"/>
  <c r="X30" i="153"/>
  <c r="W30" i="153"/>
  <c r="B38" i="153"/>
  <c r="V30" i="153"/>
  <c r="I38" i="153"/>
  <c r="N38" i="153"/>
  <c r="U30" i="153"/>
  <c r="T30" i="153"/>
  <c r="H38" i="153"/>
  <c r="E38" i="153"/>
  <c r="S30" i="153"/>
  <c r="D38" i="153"/>
  <c r="Q30" i="153"/>
  <c r="P30" i="153"/>
  <c r="G38" i="153"/>
  <c r="O30" i="153"/>
  <c r="K38" i="153"/>
  <c r="L30" i="153"/>
  <c r="F38" i="153"/>
  <c r="L38" i="153"/>
  <c r="J30" i="153"/>
  <c r="D30" i="153"/>
  <c r="O38" i="153"/>
  <c r="C30" i="153"/>
  <c r="J38" i="153"/>
  <c r="Z28" i="153"/>
  <c r="M38" i="153"/>
  <c r="B30" i="153"/>
  <c r="N30" i="153"/>
  <c r="I30" i="153"/>
  <c r="F30" i="153"/>
  <c r="Z29" i="153"/>
  <c r="AB29" i="153" s="1"/>
  <c r="K29" i="152"/>
  <c r="K30" i="152" s="1"/>
  <c r="O38" i="152"/>
  <c r="O40" i="152" s="1"/>
  <c r="O41" i="152" s="1"/>
  <c r="Z20" i="152"/>
  <c r="E29" i="152"/>
  <c r="E30" i="152" s="1"/>
  <c r="M40" i="152"/>
  <c r="M41" i="152" s="1"/>
  <c r="H40" i="152"/>
  <c r="H41" i="152" s="1"/>
  <c r="J38" i="152"/>
  <c r="P40" i="152"/>
  <c r="P41" i="152" s="1"/>
  <c r="C40" i="152"/>
  <c r="C41" i="152" s="1"/>
  <c r="C29" i="152"/>
  <c r="B38" i="152"/>
  <c r="E40" i="152"/>
  <c r="E41" i="152" s="1"/>
  <c r="G40" i="152"/>
  <c r="G41" i="152" s="1"/>
  <c r="D38" i="152"/>
  <c r="Q30" i="152"/>
  <c r="R38" i="152"/>
  <c r="AA30" i="152"/>
  <c r="F40" i="152"/>
  <c r="F41" i="152" s="1"/>
  <c r="N38" i="152"/>
  <c r="U29" i="152"/>
  <c r="U30" i="152" s="1"/>
  <c r="K38" i="152"/>
  <c r="AB20" i="152"/>
  <c r="G29" i="152"/>
  <c r="G30" i="152" s="1"/>
  <c r="L40" i="152"/>
  <c r="L41" i="152" s="1"/>
  <c r="O29" i="152"/>
  <c r="O30" i="152" s="1"/>
  <c r="W29" i="152"/>
  <c r="W30" i="152" s="1"/>
  <c r="I40" i="152"/>
  <c r="I41" i="152" s="1"/>
  <c r="I29" i="152"/>
  <c r="I30" i="152" s="1"/>
  <c r="B11" i="105"/>
  <c r="B20" i="105" s="1"/>
  <c r="O20" i="151"/>
  <c r="I20" i="151"/>
  <c r="C28" i="105"/>
  <c r="Z28" i="105" s="1"/>
  <c r="X20" i="151"/>
  <c r="Z18" i="151"/>
  <c r="R20" i="151"/>
  <c r="L28" i="151"/>
  <c r="L20" i="151"/>
  <c r="F28" i="151"/>
  <c r="F29" i="151" s="1"/>
  <c r="F30" i="151" s="1"/>
  <c r="F20" i="151"/>
  <c r="AA20" i="151"/>
  <c r="AB11" i="151"/>
  <c r="U20" i="151"/>
  <c r="Y20" i="151"/>
  <c r="G20" i="151"/>
  <c r="M20" i="151"/>
  <c r="S20" i="151"/>
  <c r="C38" i="151"/>
  <c r="E38" i="151"/>
  <c r="P38" i="151"/>
  <c r="H38" i="151"/>
  <c r="C28" i="151"/>
  <c r="C29" i="151" s="1"/>
  <c r="I28" i="151"/>
  <c r="I29" i="151" s="1"/>
  <c r="O28" i="151"/>
  <c r="O29" i="151" s="1"/>
  <c r="U28" i="151"/>
  <c r="AA28" i="151"/>
  <c r="AA29" i="151" s="1"/>
  <c r="R29" i="151"/>
  <c r="R30" i="151" s="1"/>
  <c r="X29" i="151"/>
  <c r="X30" i="151" s="1"/>
  <c r="D28" i="151"/>
  <c r="J28" i="151"/>
  <c r="P28" i="151"/>
  <c r="P29" i="151" s="1"/>
  <c r="V28" i="151"/>
  <c r="V29" i="151" s="1"/>
  <c r="G29" i="151"/>
  <c r="G30" i="151" s="1"/>
  <c r="M29" i="151"/>
  <c r="M30" i="151" s="1"/>
  <c r="S29" i="151"/>
  <c r="S30" i="151" s="1"/>
  <c r="Y29" i="151"/>
  <c r="Y30" i="151" s="1"/>
  <c r="Z11" i="151"/>
  <c r="B20" i="151"/>
  <c r="H20" i="151"/>
  <c r="N20" i="151"/>
  <c r="T20" i="151"/>
  <c r="E28" i="151"/>
  <c r="K28" i="151"/>
  <c r="K29" i="151" s="1"/>
  <c r="Q28" i="151"/>
  <c r="Q29" i="151" s="1"/>
  <c r="W28" i="151"/>
  <c r="W29" i="151" s="1"/>
  <c r="B29" i="151"/>
  <c r="H29" i="151"/>
  <c r="H30" i="151" s="1"/>
  <c r="N29" i="151"/>
  <c r="N30" i="151" s="1"/>
  <c r="T29" i="151"/>
  <c r="T30" i="151" s="1"/>
  <c r="AB14" i="151"/>
  <c r="AB18" i="151" s="1"/>
  <c r="D20" i="151"/>
  <c r="J20" i="151"/>
  <c r="P20" i="151"/>
  <c r="V20" i="151"/>
  <c r="E20" i="151"/>
  <c r="K20" i="151"/>
  <c r="Q20" i="151"/>
  <c r="W20" i="151"/>
  <c r="AA20" i="150"/>
  <c r="Z11" i="150"/>
  <c r="AA28" i="150"/>
  <c r="AA29" i="150" s="1"/>
  <c r="D20" i="150"/>
  <c r="Z18" i="150"/>
  <c r="Z20" i="150" s="1"/>
  <c r="X20" i="150"/>
  <c r="N29" i="150"/>
  <c r="I29" i="150"/>
  <c r="U20" i="150"/>
  <c r="H29" i="150"/>
  <c r="E20" i="150"/>
  <c r="AB14" i="150"/>
  <c r="AB18" i="150" s="1"/>
  <c r="H20" i="150"/>
  <c r="U29" i="150"/>
  <c r="X29" i="150"/>
  <c r="M20" i="150"/>
  <c r="P20" i="150"/>
  <c r="Q20" i="150"/>
  <c r="T20" i="150"/>
  <c r="J38" i="150"/>
  <c r="N40" i="150"/>
  <c r="N41" i="150"/>
  <c r="G38" i="150"/>
  <c r="D38" i="150"/>
  <c r="E38" i="150"/>
  <c r="H38" i="150"/>
  <c r="K29" i="150"/>
  <c r="K29" i="105" s="1"/>
  <c r="C40" i="150"/>
  <c r="C41" i="150" s="1"/>
  <c r="B20" i="150"/>
  <c r="R20" i="150"/>
  <c r="W29" i="150"/>
  <c r="W29" i="105" s="1"/>
  <c r="C20" i="150"/>
  <c r="S20" i="150"/>
  <c r="M29" i="150"/>
  <c r="AB7" i="150"/>
  <c r="AB11" i="150" s="1"/>
  <c r="F20" i="150"/>
  <c r="V20" i="150"/>
  <c r="O38" i="150"/>
  <c r="P29" i="150"/>
  <c r="L29" i="150"/>
  <c r="L29" i="105" s="1"/>
  <c r="Q29" i="150"/>
  <c r="B29" i="150"/>
  <c r="R29" i="150"/>
  <c r="C29" i="150"/>
  <c r="C29" i="105" s="1"/>
  <c r="S29" i="150"/>
  <c r="O29" i="150"/>
  <c r="O29" i="105" s="1"/>
  <c r="D29" i="150"/>
  <c r="T29" i="150"/>
  <c r="C40" i="105"/>
  <c r="D40" i="105"/>
  <c r="E40" i="105"/>
  <c r="F40" i="105"/>
  <c r="G40" i="105"/>
  <c r="H40" i="105"/>
  <c r="I40" i="105"/>
  <c r="J40" i="105"/>
  <c r="K40" i="105"/>
  <c r="L40" i="105"/>
  <c r="M40" i="105"/>
  <c r="N40" i="105"/>
  <c r="O40" i="105"/>
  <c r="P40" i="105"/>
  <c r="Q40" i="105"/>
  <c r="R40" i="105"/>
  <c r="B40" i="105"/>
  <c r="R38" i="105"/>
  <c r="Q38" i="105"/>
  <c r="C38" i="105"/>
  <c r="D38" i="105"/>
  <c r="E38" i="105"/>
  <c r="F38" i="105"/>
  <c r="G38" i="105"/>
  <c r="H38" i="105"/>
  <c r="I38" i="105"/>
  <c r="J38" i="105"/>
  <c r="K38" i="105"/>
  <c r="L38" i="105"/>
  <c r="M38" i="105"/>
  <c r="N38" i="105"/>
  <c r="O38" i="105"/>
  <c r="P38" i="105"/>
  <c r="B38" i="105"/>
  <c r="Z8" i="105"/>
  <c r="Z9" i="105"/>
  <c r="L20" i="149"/>
  <c r="AA18" i="149"/>
  <c r="Y18" i="149"/>
  <c r="Y28" i="149" s="1"/>
  <c r="X18" i="149"/>
  <c r="X20" i="149" s="1"/>
  <c r="W18" i="149"/>
  <c r="W20" i="149" s="1"/>
  <c r="V18" i="149"/>
  <c r="V28" i="149" s="1"/>
  <c r="U18" i="149"/>
  <c r="U20" i="149" s="1"/>
  <c r="T18" i="149"/>
  <c r="T28" i="149" s="1"/>
  <c r="S18" i="149"/>
  <c r="S28" i="149" s="1"/>
  <c r="R18" i="149"/>
  <c r="Q18" i="149"/>
  <c r="Q20" i="149" s="1"/>
  <c r="P18" i="149"/>
  <c r="P28" i="149" s="1"/>
  <c r="O18" i="149"/>
  <c r="O28" i="149" s="1"/>
  <c r="N18" i="149"/>
  <c r="N20" i="149" s="1"/>
  <c r="M18" i="149"/>
  <c r="M20" i="149" s="1"/>
  <c r="L18" i="149"/>
  <c r="K18" i="149"/>
  <c r="J18" i="149"/>
  <c r="J28" i="149" s="1"/>
  <c r="L38" i="149" s="1"/>
  <c r="I18" i="149"/>
  <c r="H18" i="149"/>
  <c r="H20" i="149" s="1"/>
  <c r="G18" i="149"/>
  <c r="G20" i="149" s="1"/>
  <c r="F18" i="149"/>
  <c r="F28" i="149" s="1"/>
  <c r="E18" i="149"/>
  <c r="E28" i="149" s="1"/>
  <c r="D18" i="149"/>
  <c r="D20" i="149" s="1"/>
  <c r="C18" i="149"/>
  <c r="C28" i="149" s="1"/>
  <c r="B18" i="149"/>
  <c r="Z17" i="149"/>
  <c r="AB17" i="149" s="1"/>
  <c r="Z16" i="149"/>
  <c r="AB16" i="149" s="1"/>
  <c r="Z15" i="149"/>
  <c r="AB15" i="149" s="1"/>
  <c r="Z14" i="149"/>
  <c r="AB14" i="149" s="1"/>
  <c r="AA11" i="149"/>
  <c r="Z10" i="149"/>
  <c r="AB10" i="149" s="1"/>
  <c r="Z9" i="149"/>
  <c r="AB9" i="149" s="1"/>
  <c r="Z8" i="149"/>
  <c r="AB8" i="149" s="1"/>
  <c r="Z7" i="149"/>
  <c r="AA29" i="148"/>
  <c r="AA28" i="148"/>
  <c r="B56" i="52"/>
  <c r="Z29" i="148"/>
  <c r="Z28" i="148"/>
  <c r="H28" i="148"/>
  <c r="H29" i="148" s="1"/>
  <c r="X20" i="148"/>
  <c r="H20" i="148"/>
  <c r="G20" i="148"/>
  <c r="F20" i="148"/>
  <c r="D20" i="148"/>
  <c r="C20" i="148"/>
  <c r="B20" i="148"/>
  <c r="AA18" i="148"/>
  <c r="Y18" i="148"/>
  <c r="Y28" i="148" s="1"/>
  <c r="Y29" i="148" s="1"/>
  <c r="X18" i="148"/>
  <c r="X28" i="148" s="1"/>
  <c r="C38" i="148" s="1"/>
  <c r="W18" i="148"/>
  <c r="W28" i="148" s="1"/>
  <c r="B38" i="148" s="1"/>
  <c r="V18" i="148"/>
  <c r="V28" i="148" s="1"/>
  <c r="U18" i="148"/>
  <c r="U28" i="148" s="1"/>
  <c r="T18" i="148"/>
  <c r="T28" i="148" s="1"/>
  <c r="H38" i="148" s="1"/>
  <c r="S18" i="148"/>
  <c r="S28" i="148" s="1"/>
  <c r="R18" i="148"/>
  <c r="R28" i="148" s="1"/>
  <c r="Q18" i="148"/>
  <c r="Q20" i="148" s="1"/>
  <c r="P18" i="148"/>
  <c r="P20" i="148" s="1"/>
  <c r="O18" i="148"/>
  <c r="O20" i="148" s="1"/>
  <c r="N18" i="148"/>
  <c r="N20" i="148" s="1"/>
  <c r="M18" i="148"/>
  <c r="M20" i="148" s="1"/>
  <c r="L18" i="148"/>
  <c r="L20" i="148" s="1"/>
  <c r="K18" i="148"/>
  <c r="K28" i="148" s="1"/>
  <c r="J18" i="148"/>
  <c r="I18" i="148"/>
  <c r="I20" i="148" s="1"/>
  <c r="H18" i="148"/>
  <c r="G18" i="148"/>
  <c r="G28" i="148" s="1"/>
  <c r="F18" i="148"/>
  <c r="F28" i="148" s="1"/>
  <c r="E18" i="148"/>
  <c r="E28" i="148" s="1"/>
  <c r="D18" i="148"/>
  <c r="D28" i="148" s="1"/>
  <c r="C18" i="148"/>
  <c r="C28" i="148" s="1"/>
  <c r="B18" i="148"/>
  <c r="B28" i="148" s="1"/>
  <c r="Z17" i="148"/>
  <c r="AB17" i="148" s="1"/>
  <c r="Z16" i="148"/>
  <c r="AB16" i="148" s="1"/>
  <c r="Z15" i="148"/>
  <c r="AB15" i="148" s="1"/>
  <c r="Z14" i="148"/>
  <c r="AB14" i="148" s="1"/>
  <c r="AA11" i="148"/>
  <c r="Z10" i="148"/>
  <c r="AB10" i="148" s="1"/>
  <c r="Z9" i="148"/>
  <c r="AB9" i="148" s="1"/>
  <c r="Z8" i="148"/>
  <c r="AB8" i="148" s="1"/>
  <c r="Z7" i="148"/>
  <c r="AB7" i="148" s="1"/>
  <c r="AA29" i="147"/>
  <c r="AB29" i="145"/>
  <c r="B53" i="52"/>
  <c r="B55" i="52"/>
  <c r="AA28" i="147"/>
  <c r="AA18" i="147"/>
  <c r="Y18" i="147"/>
  <c r="Y20" i="147" s="1"/>
  <c r="X18" i="147"/>
  <c r="X28" i="147" s="1"/>
  <c r="W18" i="147"/>
  <c r="V18" i="147"/>
  <c r="V28" i="147" s="1"/>
  <c r="U18" i="147"/>
  <c r="U28" i="147" s="1"/>
  <c r="T18" i="147"/>
  <c r="T28" i="147" s="1"/>
  <c r="S18" i="147"/>
  <c r="R18" i="147"/>
  <c r="R20" i="147" s="1"/>
  <c r="Q18" i="147"/>
  <c r="Q28" i="147" s="1"/>
  <c r="D38" i="147" s="1"/>
  <c r="P18" i="147"/>
  <c r="P28" i="147" s="1"/>
  <c r="O18" i="147"/>
  <c r="O28" i="147" s="1"/>
  <c r="N18" i="147"/>
  <c r="M18" i="147"/>
  <c r="M20" i="147" s="1"/>
  <c r="L18" i="147"/>
  <c r="L28" i="147" s="1"/>
  <c r="K18" i="147"/>
  <c r="K20" i="147" s="1"/>
  <c r="J18" i="147"/>
  <c r="J20" i="147" s="1"/>
  <c r="I18" i="147"/>
  <c r="I20" i="147" s="1"/>
  <c r="H18" i="147"/>
  <c r="H20" i="147" s="1"/>
  <c r="G18" i="147"/>
  <c r="F18" i="147"/>
  <c r="F28" i="147" s="1"/>
  <c r="E18" i="147"/>
  <c r="D18" i="147"/>
  <c r="D28" i="147" s="1"/>
  <c r="C18" i="147"/>
  <c r="B18" i="147"/>
  <c r="B20" i="147" s="1"/>
  <c r="Z17" i="147"/>
  <c r="AB17" i="147" s="1"/>
  <c r="Z16" i="147"/>
  <c r="AB16" i="147" s="1"/>
  <c r="Z15" i="147"/>
  <c r="AB15" i="147" s="1"/>
  <c r="Z14" i="147"/>
  <c r="AB14" i="147" s="1"/>
  <c r="AA11" i="147"/>
  <c r="Z10" i="147"/>
  <c r="AB10" i="147" s="1"/>
  <c r="Z9" i="147"/>
  <c r="AB9" i="147" s="1"/>
  <c r="Z8" i="147"/>
  <c r="AB8" i="147" s="1"/>
  <c r="Z7" i="147"/>
  <c r="AB7" i="147" s="1"/>
  <c r="AA28" i="146"/>
  <c r="Z29" i="146"/>
  <c r="Z28" i="146"/>
  <c r="B20" i="146"/>
  <c r="AA18" i="146"/>
  <c r="Y18" i="146"/>
  <c r="X18" i="146"/>
  <c r="X20" i="146" s="1"/>
  <c r="W18" i="146"/>
  <c r="W28" i="146" s="1"/>
  <c r="B38" i="146" s="1"/>
  <c r="V18" i="146"/>
  <c r="V28" i="146" s="1"/>
  <c r="U18" i="146"/>
  <c r="U28" i="146" s="1"/>
  <c r="T18" i="146"/>
  <c r="T28" i="146" s="1"/>
  <c r="S18" i="146"/>
  <c r="S20" i="146" s="1"/>
  <c r="R18" i="146"/>
  <c r="R28" i="146" s="1"/>
  <c r="Q18" i="146"/>
  <c r="Q20" i="146" s="1"/>
  <c r="P18" i="146"/>
  <c r="P20" i="146" s="1"/>
  <c r="O18" i="146"/>
  <c r="O20" i="146" s="1"/>
  <c r="N18" i="146"/>
  <c r="N20" i="146" s="1"/>
  <c r="M18" i="146"/>
  <c r="M20" i="146" s="1"/>
  <c r="L18" i="146"/>
  <c r="L28" i="146" s="1"/>
  <c r="K18" i="146"/>
  <c r="K20" i="146" s="1"/>
  <c r="J18" i="146"/>
  <c r="I18" i="146"/>
  <c r="H18" i="146"/>
  <c r="H20" i="146" s="1"/>
  <c r="G18" i="146"/>
  <c r="G28" i="146" s="1"/>
  <c r="F18" i="146"/>
  <c r="F28" i="146" s="1"/>
  <c r="E18" i="146"/>
  <c r="E28" i="146" s="1"/>
  <c r="D18" i="146"/>
  <c r="D28" i="146" s="1"/>
  <c r="C18" i="146"/>
  <c r="C28" i="146" s="1"/>
  <c r="C29" i="146" s="1"/>
  <c r="B18" i="146"/>
  <c r="B28" i="146" s="1"/>
  <c r="Z17" i="146"/>
  <c r="AB17" i="146" s="1"/>
  <c r="Z16" i="146"/>
  <c r="AB16" i="146" s="1"/>
  <c r="Z15" i="146"/>
  <c r="AB15" i="146" s="1"/>
  <c r="Z14" i="146"/>
  <c r="AB14" i="146" s="1"/>
  <c r="AA11" i="146"/>
  <c r="Z10" i="146"/>
  <c r="AB10" i="146" s="1"/>
  <c r="Z9" i="146"/>
  <c r="AB9" i="146" s="1"/>
  <c r="Z8" i="146"/>
  <c r="AB8" i="146" s="1"/>
  <c r="Z7" i="146"/>
  <c r="AA29" i="145"/>
  <c r="AA28" i="145"/>
  <c r="Z29" i="145"/>
  <c r="Z28" i="145"/>
  <c r="Z29" i="152" l="1"/>
  <c r="AB29" i="156"/>
  <c r="D40" i="157"/>
  <c r="D41" i="157"/>
  <c r="Z30" i="157"/>
  <c r="AB28" i="157"/>
  <c r="N40" i="157"/>
  <c r="N41" i="157"/>
  <c r="R40" i="157"/>
  <c r="R41" i="157" s="1"/>
  <c r="L40" i="157"/>
  <c r="L41" i="157" s="1"/>
  <c r="Q38" i="157"/>
  <c r="B40" i="157"/>
  <c r="B41" i="157" s="1"/>
  <c r="Q41" i="157" s="1"/>
  <c r="M40" i="157"/>
  <c r="M41" i="157" s="1"/>
  <c r="O40" i="157"/>
  <c r="O41" i="157" s="1"/>
  <c r="I40" i="157"/>
  <c r="I41" i="157"/>
  <c r="G40" i="157"/>
  <c r="G41" i="157" s="1"/>
  <c r="J40" i="157"/>
  <c r="J41" i="157" s="1"/>
  <c r="K40" i="156"/>
  <c r="K41" i="156"/>
  <c r="R40" i="156"/>
  <c r="R41" i="156" s="1"/>
  <c r="J40" i="156"/>
  <c r="J41" i="156"/>
  <c r="N40" i="156"/>
  <c r="N41" i="156"/>
  <c r="D40" i="156"/>
  <c r="D41" i="156"/>
  <c r="Z30" i="156"/>
  <c r="AB28" i="156"/>
  <c r="B40" i="156"/>
  <c r="B41" i="156"/>
  <c r="Q38" i="156"/>
  <c r="B41" i="155"/>
  <c r="Q38" i="155"/>
  <c r="B40" i="155"/>
  <c r="O40" i="155"/>
  <c r="O41" i="155"/>
  <c r="J41" i="155"/>
  <c r="J40" i="155"/>
  <c r="N40" i="155"/>
  <c r="N41" i="155" s="1"/>
  <c r="Z30" i="155"/>
  <c r="AB28" i="155"/>
  <c r="D40" i="155"/>
  <c r="D41" i="155" s="1"/>
  <c r="Z29" i="154"/>
  <c r="K40" i="154"/>
  <c r="K41" i="154" s="1"/>
  <c r="O40" i="154"/>
  <c r="O41" i="154" s="1"/>
  <c r="B40" i="154"/>
  <c r="Q38" i="154"/>
  <c r="D40" i="154"/>
  <c r="D41" i="154" s="1"/>
  <c r="M40" i="154"/>
  <c r="M41" i="154"/>
  <c r="J40" i="154"/>
  <c r="J41" i="154" s="1"/>
  <c r="N40" i="154"/>
  <c r="N41" i="154" s="1"/>
  <c r="R40" i="154"/>
  <c r="R41" i="154" s="1"/>
  <c r="R40" i="153"/>
  <c r="R41" i="153" s="1"/>
  <c r="P40" i="153"/>
  <c r="P41" i="153" s="1"/>
  <c r="C40" i="153"/>
  <c r="C41" i="153" s="1"/>
  <c r="Q38" i="153"/>
  <c r="B40" i="153"/>
  <c r="B41" i="153" s="1"/>
  <c r="I40" i="153"/>
  <c r="I41" i="153"/>
  <c r="N40" i="153"/>
  <c r="N41" i="153"/>
  <c r="H40" i="153"/>
  <c r="H41" i="153" s="1"/>
  <c r="E40" i="153"/>
  <c r="E41" i="153" s="1"/>
  <c r="D40" i="153"/>
  <c r="D41" i="153" s="1"/>
  <c r="G40" i="153"/>
  <c r="G41" i="153" s="1"/>
  <c r="K40" i="153"/>
  <c r="K41" i="153" s="1"/>
  <c r="F40" i="153"/>
  <c r="F41" i="153" s="1"/>
  <c r="L40" i="153"/>
  <c r="L41" i="153" s="1"/>
  <c r="O40" i="153"/>
  <c r="O41" i="153" s="1"/>
  <c r="J40" i="153"/>
  <c r="J41" i="153" s="1"/>
  <c r="AB28" i="153"/>
  <c r="Z30" i="153"/>
  <c r="M40" i="153"/>
  <c r="M41" i="153" s="1"/>
  <c r="AB29" i="152"/>
  <c r="C30" i="152"/>
  <c r="N40" i="152"/>
  <c r="N41" i="152" s="1"/>
  <c r="AB28" i="152"/>
  <c r="AB33" i="152" s="1"/>
  <c r="D40" i="152"/>
  <c r="D41" i="152" s="1"/>
  <c r="K40" i="152"/>
  <c r="K41" i="152" s="1"/>
  <c r="B40" i="152"/>
  <c r="B41" i="152" s="1"/>
  <c r="Q38" i="152"/>
  <c r="J40" i="152"/>
  <c r="J41" i="152" s="1"/>
  <c r="R40" i="152"/>
  <c r="R41" i="152" s="1"/>
  <c r="F38" i="151"/>
  <c r="F40" i="151" s="1"/>
  <c r="F41" i="151" s="1"/>
  <c r="L29" i="151"/>
  <c r="L30" i="151" s="1"/>
  <c r="T30" i="150"/>
  <c r="T29" i="105"/>
  <c r="M30" i="150"/>
  <c r="M29" i="105"/>
  <c r="H30" i="150"/>
  <c r="H29" i="105"/>
  <c r="S30" i="150"/>
  <c r="S29" i="105"/>
  <c r="P30" i="150"/>
  <c r="P29" i="105"/>
  <c r="X30" i="150"/>
  <c r="X29" i="105"/>
  <c r="U30" i="150"/>
  <c r="U29" i="105"/>
  <c r="I30" i="150"/>
  <c r="I29" i="105"/>
  <c r="R30" i="150"/>
  <c r="R29" i="105"/>
  <c r="N30" i="150"/>
  <c r="N29" i="105"/>
  <c r="D30" i="150"/>
  <c r="D29" i="105"/>
  <c r="Q30" i="150"/>
  <c r="Q29" i="105"/>
  <c r="B30" i="150"/>
  <c r="B29" i="105"/>
  <c r="AB28" i="105"/>
  <c r="B8" i="52" s="1"/>
  <c r="Z20" i="151"/>
  <c r="AB20" i="151"/>
  <c r="Z28" i="151"/>
  <c r="AB28" i="151" s="1"/>
  <c r="AB33" i="151" s="1"/>
  <c r="L38" i="151"/>
  <c r="E40" i="151"/>
  <c r="E41" i="151" s="1"/>
  <c r="N38" i="151"/>
  <c r="K38" i="151"/>
  <c r="O30" i="151"/>
  <c r="E29" i="151"/>
  <c r="E30" i="151" s="1"/>
  <c r="R38" i="151"/>
  <c r="AA30" i="151"/>
  <c r="O38" i="151"/>
  <c r="U29" i="151"/>
  <c r="U30" i="151" s="1"/>
  <c r="M38" i="151"/>
  <c r="B38" i="151"/>
  <c r="W30" i="151"/>
  <c r="I30" i="151"/>
  <c r="J29" i="151"/>
  <c r="J30" i="151" s="1"/>
  <c r="H40" i="151"/>
  <c r="H41" i="151" s="1"/>
  <c r="B30" i="151"/>
  <c r="I38" i="151"/>
  <c r="V30" i="151"/>
  <c r="J38" i="151"/>
  <c r="C30" i="151"/>
  <c r="D38" i="151"/>
  <c r="Q30" i="151"/>
  <c r="K30" i="151"/>
  <c r="G38" i="151"/>
  <c r="P30" i="151"/>
  <c r="P40" i="151"/>
  <c r="P41" i="151" s="1"/>
  <c r="C40" i="151"/>
  <c r="C41" i="151" s="1"/>
  <c r="D29" i="151"/>
  <c r="D30" i="151" s="1"/>
  <c r="C30" i="150"/>
  <c r="L38" i="150"/>
  <c r="J29" i="150"/>
  <c r="Y29" i="150"/>
  <c r="M38" i="150"/>
  <c r="M40" i="150" s="1"/>
  <c r="M41" i="150" s="1"/>
  <c r="E29" i="150"/>
  <c r="P38" i="150"/>
  <c r="P40" i="150" s="1"/>
  <c r="P41" i="150" s="1"/>
  <c r="O40" i="150"/>
  <c r="O41" i="150" s="1"/>
  <c r="I38" i="150"/>
  <c r="AB20" i="150"/>
  <c r="V29" i="150"/>
  <c r="J40" i="150"/>
  <c r="J41" i="150" s="1"/>
  <c r="G40" i="150"/>
  <c r="G41" i="150" s="1"/>
  <c r="R38" i="150"/>
  <c r="AA30" i="150"/>
  <c r="K30" i="150"/>
  <c r="H40" i="150"/>
  <c r="H41" i="150" s="1"/>
  <c r="B38" i="150"/>
  <c r="W30" i="150"/>
  <c r="L30" i="150"/>
  <c r="F38" i="150"/>
  <c r="D40" i="150"/>
  <c r="D41" i="150" s="1"/>
  <c r="G29" i="150"/>
  <c r="K38" i="150"/>
  <c r="O30" i="150"/>
  <c r="E40" i="150"/>
  <c r="E41" i="150" s="1"/>
  <c r="F29" i="150"/>
  <c r="AA20" i="149"/>
  <c r="AA28" i="149"/>
  <c r="AA29" i="149" s="1"/>
  <c r="AA30" i="149" s="1"/>
  <c r="V20" i="149"/>
  <c r="AB18" i="149"/>
  <c r="Y20" i="149"/>
  <c r="T20" i="149"/>
  <c r="I28" i="149"/>
  <c r="I29" i="149" s="1"/>
  <c r="I30" i="149" s="1"/>
  <c r="K28" i="149"/>
  <c r="K29" i="149" s="1"/>
  <c r="K30" i="149" s="1"/>
  <c r="L28" i="149"/>
  <c r="L29" i="149" s="1"/>
  <c r="N28" i="149"/>
  <c r="N29" i="149" s="1"/>
  <c r="I20" i="149"/>
  <c r="J29" i="149"/>
  <c r="J30" i="149" s="1"/>
  <c r="J20" i="149"/>
  <c r="Y29" i="149"/>
  <c r="Y30" i="149" s="1"/>
  <c r="E20" i="149"/>
  <c r="F20" i="149"/>
  <c r="K20" i="149"/>
  <c r="Z11" i="149"/>
  <c r="H38" i="149"/>
  <c r="I38" i="149"/>
  <c r="L40" i="149"/>
  <c r="L41" i="149" s="1"/>
  <c r="K38" i="149"/>
  <c r="G38" i="149"/>
  <c r="J38" i="149"/>
  <c r="E38" i="149"/>
  <c r="B29" i="149"/>
  <c r="B20" i="149"/>
  <c r="R20" i="149"/>
  <c r="G28" i="149"/>
  <c r="G29" i="149" s="1"/>
  <c r="W28" i="149"/>
  <c r="W29" i="149" s="1"/>
  <c r="C20" i="149"/>
  <c r="S20" i="149"/>
  <c r="H28" i="149"/>
  <c r="H29" i="149" s="1"/>
  <c r="X28" i="149"/>
  <c r="X29" i="149" s="1"/>
  <c r="M28" i="149"/>
  <c r="C29" i="149"/>
  <c r="C30" i="149" s="1"/>
  <c r="T29" i="149"/>
  <c r="T30" i="149" s="1"/>
  <c r="E29" i="149"/>
  <c r="E30" i="149" s="1"/>
  <c r="V29" i="149"/>
  <c r="V30" i="149" s="1"/>
  <c r="R28" i="149"/>
  <c r="P38" i="149"/>
  <c r="Z18" i="149"/>
  <c r="O20" i="149"/>
  <c r="D28" i="149"/>
  <c r="D29" i="149" s="1"/>
  <c r="P29" i="149"/>
  <c r="P30" i="149" s="1"/>
  <c r="F29" i="149"/>
  <c r="F30" i="149" s="1"/>
  <c r="B28" i="149"/>
  <c r="P20" i="149"/>
  <c r="U28" i="149"/>
  <c r="AB7" i="149"/>
  <c r="AB11" i="149" s="1"/>
  <c r="O29" i="149"/>
  <c r="O30" i="149" s="1"/>
  <c r="S29" i="149"/>
  <c r="S30" i="149" s="1"/>
  <c r="Q28" i="149"/>
  <c r="Q29" i="149" s="1"/>
  <c r="Z10" i="105"/>
  <c r="E20" i="148"/>
  <c r="Z7" i="105"/>
  <c r="AA20" i="148"/>
  <c r="AB18" i="148"/>
  <c r="Y20" i="148"/>
  <c r="O38" i="148"/>
  <c r="L28" i="148"/>
  <c r="K29" i="148"/>
  <c r="I28" i="148"/>
  <c r="J28" i="148"/>
  <c r="R20" i="148"/>
  <c r="D29" i="148"/>
  <c r="T29" i="148"/>
  <c r="S20" i="148"/>
  <c r="T20" i="148"/>
  <c r="U20" i="148"/>
  <c r="G29" i="148"/>
  <c r="W29" i="148"/>
  <c r="V20" i="148"/>
  <c r="W20" i="148"/>
  <c r="M38" i="148"/>
  <c r="B40" i="148"/>
  <c r="J38" i="148"/>
  <c r="S30" i="148"/>
  <c r="E38" i="148"/>
  <c r="C40" i="148"/>
  <c r="C41" i="148"/>
  <c r="N38" i="148"/>
  <c r="I38" i="148"/>
  <c r="AB11" i="148"/>
  <c r="M28" i="148"/>
  <c r="B29" i="148"/>
  <c r="R29" i="148"/>
  <c r="N28" i="148"/>
  <c r="C29" i="148"/>
  <c r="S29" i="148"/>
  <c r="H30" i="148"/>
  <c r="H40" i="148"/>
  <c r="K20" i="148"/>
  <c r="P28" i="148"/>
  <c r="E29" i="148"/>
  <c r="U29" i="148"/>
  <c r="Z11" i="148"/>
  <c r="Q28" i="148"/>
  <c r="F29" i="148"/>
  <c r="V29" i="148"/>
  <c r="J20" i="148"/>
  <c r="Y30" i="148"/>
  <c r="P38" i="148"/>
  <c r="O28" i="148"/>
  <c r="X29" i="148"/>
  <c r="Z18" i="148"/>
  <c r="AB11" i="147"/>
  <c r="R28" i="147"/>
  <c r="R29" i="147" s="1"/>
  <c r="R30" i="147" s="1"/>
  <c r="B28" i="147"/>
  <c r="AA20" i="147"/>
  <c r="AB18" i="147"/>
  <c r="L20" i="147"/>
  <c r="X20" i="147"/>
  <c r="O29" i="147"/>
  <c r="O30" i="147" s="1"/>
  <c r="P29" i="147"/>
  <c r="P30" i="147" s="1"/>
  <c r="Q29" i="147"/>
  <c r="N20" i="147"/>
  <c r="O20" i="147"/>
  <c r="P20" i="147"/>
  <c r="M28" i="147"/>
  <c r="Q20" i="147"/>
  <c r="N28" i="147"/>
  <c r="N29" i="147" s="1"/>
  <c r="K38" i="147"/>
  <c r="K40" i="147" s="1"/>
  <c r="H38" i="147"/>
  <c r="N38" i="147"/>
  <c r="C38" i="147"/>
  <c r="D40" i="147"/>
  <c r="D41" i="147" s="1"/>
  <c r="I38" i="147"/>
  <c r="T29" i="147"/>
  <c r="T30" i="147" s="1"/>
  <c r="U29" i="147"/>
  <c r="U30" i="147" s="1"/>
  <c r="F29" i="147"/>
  <c r="F30" i="147" s="1"/>
  <c r="C28" i="147"/>
  <c r="S28" i="147"/>
  <c r="S29" i="147" s="1"/>
  <c r="X29" i="147"/>
  <c r="X30" i="147" s="1"/>
  <c r="Z18" i="147"/>
  <c r="G28" i="147"/>
  <c r="G29" i="147" s="1"/>
  <c r="W28" i="147"/>
  <c r="W29" i="147" s="1"/>
  <c r="L29" i="147"/>
  <c r="L30" i="147" s="1"/>
  <c r="Q30" i="147"/>
  <c r="C20" i="147"/>
  <c r="S20" i="147"/>
  <c r="H28" i="147"/>
  <c r="H29" i="147" s="1"/>
  <c r="D20" i="147"/>
  <c r="T20" i="147"/>
  <c r="I28" i="147"/>
  <c r="Y28" i="147"/>
  <c r="Y29" i="147" s="1"/>
  <c r="G38" i="147"/>
  <c r="E20" i="147"/>
  <c r="U20" i="147"/>
  <c r="J28" i="147"/>
  <c r="J29" i="147" s="1"/>
  <c r="F20" i="147"/>
  <c r="V20" i="147"/>
  <c r="K28" i="147"/>
  <c r="O38" i="147" s="1"/>
  <c r="G20" i="147"/>
  <c r="W20" i="147"/>
  <c r="D29" i="147"/>
  <c r="D30" i="147" s="1"/>
  <c r="Z11" i="147"/>
  <c r="V29" i="147"/>
  <c r="V30" i="147" s="1"/>
  <c r="E28" i="147"/>
  <c r="X28" i="146"/>
  <c r="C38" i="146" s="1"/>
  <c r="Z11" i="146"/>
  <c r="AA20" i="146"/>
  <c r="AB18" i="146"/>
  <c r="H28" i="146"/>
  <c r="H29" i="146" s="1"/>
  <c r="S28" i="146"/>
  <c r="G29" i="146"/>
  <c r="G30" i="146" s="1"/>
  <c r="W29" i="146"/>
  <c r="W30" i="146" s="1"/>
  <c r="C20" i="146"/>
  <c r="L20" i="146"/>
  <c r="R20" i="146"/>
  <c r="L29" i="146"/>
  <c r="L30" i="146" s="1"/>
  <c r="B30" i="146"/>
  <c r="M38" i="146"/>
  <c r="H38" i="146"/>
  <c r="B40" i="146"/>
  <c r="B41" i="146" s="1"/>
  <c r="C40" i="146"/>
  <c r="C41" i="146" s="1"/>
  <c r="N38" i="146"/>
  <c r="I38" i="146"/>
  <c r="D20" i="146"/>
  <c r="T20" i="146"/>
  <c r="I28" i="146"/>
  <c r="Y28" i="146"/>
  <c r="Y29" i="146" s="1"/>
  <c r="C30" i="146"/>
  <c r="AB7" i="146"/>
  <c r="AB11" i="146" s="1"/>
  <c r="E20" i="146"/>
  <c r="U20" i="146"/>
  <c r="J28" i="146"/>
  <c r="F20" i="146"/>
  <c r="V20" i="146"/>
  <c r="K28" i="146"/>
  <c r="K29" i="146" s="1"/>
  <c r="G20" i="146"/>
  <c r="W20" i="146"/>
  <c r="J38" i="146"/>
  <c r="M28" i="146"/>
  <c r="M29" i="146" s="1"/>
  <c r="B29" i="146"/>
  <c r="R29" i="146"/>
  <c r="R30" i="146" s="1"/>
  <c r="J20" i="146"/>
  <c r="O28" i="146"/>
  <c r="O29" i="146" s="1"/>
  <c r="D29" i="146"/>
  <c r="T29" i="146"/>
  <c r="T30" i="146" s="1"/>
  <c r="I20" i="146"/>
  <c r="Y20" i="146"/>
  <c r="N28" i="146"/>
  <c r="H30" i="146"/>
  <c r="P28" i="146"/>
  <c r="P29" i="146" s="1"/>
  <c r="E29" i="146"/>
  <c r="E30" i="146" s="1"/>
  <c r="U29" i="146"/>
  <c r="U30" i="146" s="1"/>
  <c r="Q28" i="146"/>
  <c r="F29" i="146"/>
  <c r="F30" i="146" s="1"/>
  <c r="V29" i="146"/>
  <c r="V30" i="146" s="1"/>
  <c r="Z18" i="146"/>
  <c r="Z20" i="146" s="1"/>
  <c r="AA18" i="145"/>
  <c r="Y18" i="145"/>
  <c r="Y20" i="145" s="1"/>
  <c r="X18" i="145"/>
  <c r="X28" i="145" s="1"/>
  <c r="C38" i="145" s="1"/>
  <c r="W18" i="145"/>
  <c r="W28" i="145" s="1"/>
  <c r="V18" i="145"/>
  <c r="V28" i="145" s="1"/>
  <c r="I38" i="145" s="1"/>
  <c r="U18" i="145"/>
  <c r="U28" i="145" s="1"/>
  <c r="T18" i="145"/>
  <c r="T28" i="145" s="1"/>
  <c r="S18" i="145"/>
  <c r="S20" i="145" s="1"/>
  <c r="R18" i="145"/>
  <c r="R20" i="145" s="1"/>
  <c r="Q18" i="145"/>
  <c r="Q28" i="145" s="1"/>
  <c r="P18" i="145"/>
  <c r="P20" i="145" s="1"/>
  <c r="O18" i="145"/>
  <c r="O20" i="145" s="1"/>
  <c r="N18" i="145"/>
  <c r="N28" i="145" s="1"/>
  <c r="M18" i="145"/>
  <c r="M20" i="145" s="1"/>
  <c r="L18" i="145"/>
  <c r="L28" i="145" s="1"/>
  <c r="K18" i="145"/>
  <c r="J18" i="145"/>
  <c r="J20" i="145" s="1"/>
  <c r="I18" i="145"/>
  <c r="I20" i="145" s="1"/>
  <c r="H18" i="145"/>
  <c r="H28" i="145" s="1"/>
  <c r="G18" i="145"/>
  <c r="G28" i="145" s="1"/>
  <c r="F18" i="145"/>
  <c r="F28" i="145" s="1"/>
  <c r="E18" i="145"/>
  <c r="E28" i="145" s="1"/>
  <c r="D18" i="145"/>
  <c r="D20" i="145" s="1"/>
  <c r="C18" i="145"/>
  <c r="C28" i="145" s="1"/>
  <c r="B18" i="145"/>
  <c r="B28" i="145" s="1"/>
  <c r="Z17" i="145"/>
  <c r="AB17" i="145" s="1"/>
  <c r="Z16" i="145"/>
  <c r="AB16" i="145" s="1"/>
  <c r="Z15" i="145"/>
  <c r="AB15" i="145" s="1"/>
  <c r="Z14" i="145"/>
  <c r="AA11" i="145"/>
  <c r="Z10" i="145"/>
  <c r="AB10" i="145" s="1"/>
  <c r="Z9" i="145"/>
  <c r="AB9" i="145" s="1"/>
  <c r="Z8" i="145"/>
  <c r="AB8" i="145" s="1"/>
  <c r="Z7" i="145"/>
  <c r="AB7" i="145" s="1"/>
  <c r="Q40" i="157" l="1"/>
  <c r="AB30" i="157"/>
  <c r="AB33" i="157"/>
  <c r="AB30" i="156"/>
  <c r="AB33" i="156"/>
  <c r="Q41" i="156"/>
  <c r="Q40" i="156"/>
  <c r="AB30" i="155"/>
  <c r="AB33" i="155"/>
  <c r="Q40" i="155"/>
  <c r="Q41" i="155"/>
  <c r="Q40" i="154"/>
  <c r="B41" i="154"/>
  <c r="Q41" i="154" s="1"/>
  <c r="AB29" i="154"/>
  <c r="AB30" i="154" s="1"/>
  <c r="Z30" i="154"/>
  <c r="AB33" i="153"/>
  <c r="AB30" i="153"/>
  <c r="Q40" i="153"/>
  <c r="Q41" i="153"/>
  <c r="Z30" i="152"/>
  <c r="AB30" i="152"/>
  <c r="Q41" i="152"/>
  <c r="Q40" i="152"/>
  <c r="G30" i="150"/>
  <c r="G29" i="105"/>
  <c r="F30" i="150"/>
  <c r="F29" i="105"/>
  <c r="J30" i="150"/>
  <c r="J29" i="105"/>
  <c r="Z29" i="105" s="1"/>
  <c r="E30" i="150"/>
  <c r="E29" i="105"/>
  <c r="Y30" i="150"/>
  <c r="Y29" i="105"/>
  <c r="V30" i="150"/>
  <c r="V29" i="105"/>
  <c r="G40" i="151"/>
  <c r="G41" i="151" s="1"/>
  <c r="I40" i="151"/>
  <c r="I41" i="151" s="1"/>
  <c r="B40" i="151"/>
  <c r="B41" i="151"/>
  <c r="Q38" i="151"/>
  <c r="D40" i="151"/>
  <c r="D41" i="151" s="1"/>
  <c r="M40" i="151"/>
  <c r="M41" i="151" s="1"/>
  <c r="O40" i="151"/>
  <c r="O41" i="151" s="1"/>
  <c r="L40" i="151"/>
  <c r="L41" i="151" s="1"/>
  <c r="N40" i="151"/>
  <c r="N41" i="151" s="1"/>
  <c r="Z29" i="151"/>
  <c r="R40" i="151"/>
  <c r="R41" i="151" s="1"/>
  <c r="J40" i="151"/>
  <c r="J41" i="151" s="1"/>
  <c r="K40" i="151"/>
  <c r="K41" i="151" s="1"/>
  <c r="Z29" i="150"/>
  <c r="L40" i="150"/>
  <c r="L41" i="150"/>
  <c r="Q38" i="150"/>
  <c r="B40" i="150"/>
  <c r="B41" i="150" s="1"/>
  <c r="I40" i="150"/>
  <c r="I41" i="150" s="1"/>
  <c r="F40" i="150"/>
  <c r="F41" i="150" s="1"/>
  <c r="R40" i="150"/>
  <c r="R41" i="150"/>
  <c r="K40" i="150"/>
  <c r="K41" i="150" s="1"/>
  <c r="R38" i="149"/>
  <c r="R40" i="149" s="1"/>
  <c r="R41" i="149" s="1"/>
  <c r="Z20" i="149"/>
  <c r="N30" i="149"/>
  <c r="L30" i="149"/>
  <c r="J40" i="149"/>
  <c r="J41" i="149" s="1"/>
  <c r="I40" i="149"/>
  <c r="I41" i="149" s="1"/>
  <c r="G40" i="149"/>
  <c r="G41" i="149"/>
  <c r="K40" i="149"/>
  <c r="K41" i="149" s="1"/>
  <c r="N38" i="149"/>
  <c r="F38" i="149"/>
  <c r="H30" i="149"/>
  <c r="O38" i="149"/>
  <c r="D30" i="149"/>
  <c r="P40" i="149"/>
  <c r="P41" i="149" s="1"/>
  <c r="R29" i="149"/>
  <c r="R30" i="149" s="1"/>
  <c r="AB20" i="149"/>
  <c r="E40" i="149"/>
  <c r="E41" i="149" s="1"/>
  <c r="X30" i="149"/>
  <c r="C38" i="149"/>
  <c r="W30" i="149"/>
  <c r="B38" i="149"/>
  <c r="H40" i="149"/>
  <c r="H41" i="149" s="1"/>
  <c r="D38" i="149"/>
  <c r="Q30" i="149"/>
  <c r="U29" i="149"/>
  <c r="U30" i="149" s="1"/>
  <c r="Z28" i="149"/>
  <c r="M38" i="149"/>
  <c r="B30" i="149"/>
  <c r="M29" i="149"/>
  <c r="G30" i="149"/>
  <c r="W30" i="148"/>
  <c r="R38" i="148"/>
  <c r="X30" i="148"/>
  <c r="B41" i="148"/>
  <c r="V30" i="148"/>
  <c r="U30" i="148"/>
  <c r="T30" i="148"/>
  <c r="H41" i="148"/>
  <c r="Z20" i="148"/>
  <c r="M29" i="148"/>
  <c r="L29" i="148"/>
  <c r="K30" i="148"/>
  <c r="J29" i="148"/>
  <c r="L38" i="148"/>
  <c r="I29" i="148"/>
  <c r="G30" i="148"/>
  <c r="F30" i="148"/>
  <c r="E30" i="148"/>
  <c r="D30" i="148"/>
  <c r="O40" i="148"/>
  <c r="C30" i="148"/>
  <c r="R30" i="148"/>
  <c r="F38" i="148"/>
  <c r="AB20" i="148"/>
  <c r="N40" i="148"/>
  <c r="J40" i="148"/>
  <c r="K38" i="148"/>
  <c r="I40" i="148"/>
  <c r="M40" i="148"/>
  <c r="E40" i="148"/>
  <c r="E41" i="148"/>
  <c r="D38" i="148"/>
  <c r="G38" i="148"/>
  <c r="Q29" i="148"/>
  <c r="P40" i="148"/>
  <c r="O29" i="148"/>
  <c r="P29" i="148"/>
  <c r="N29" i="148"/>
  <c r="B30" i="148"/>
  <c r="B29" i="147"/>
  <c r="Z28" i="147"/>
  <c r="AB20" i="147"/>
  <c r="B30" i="147"/>
  <c r="F38" i="147"/>
  <c r="F40" i="147" s="1"/>
  <c r="F41" i="147" s="1"/>
  <c r="K41" i="147"/>
  <c r="Z20" i="147"/>
  <c r="N30" i="147"/>
  <c r="M29" i="147"/>
  <c r="M30" i="147" s="1"/>
  <c r="O40" i="147"/>
  <c r="O41" i="147"/>
  <c r="E30" i="147"/>
  <c r="M38" i="147"/>
  <c r="W30" i="147"/>
  <c r="B38" i="147"/>
  <c r="K29" i="147"/>
  <c r="S30" i="147"/>
  <c r="E38" i="147"/>
  <c r="I40" i="147"/>
  <c r="I41" i="147" s="1"/>
  <c r="AA30" i="147"/>
  <c r="R38" i="147"/>
  <c r="N40" i="147"/>
  <c r="N41" i="147" s="1"/>
  <c r="E29" i="147"/>
  <c r="J30" i="147"/>
  <c r="L38" i="147"/>
  <c r="H40" i="147"/>
  <c r="H41" i="147" s="1"/>
  <c r="G40" i="147"/>
  <c r="G41" i="147" s="1"/>
  <c r="J38" i="147"/>
  <c r="C40" i="147"/>
  <c r="C41" i="147"/>
  <c r="H30" i="147"/>
  <c r="K30" i="147"/>
  <c r="G30" i="147"/>
  <c r="Y30" i="147"/>
  <c r="P38" i="147"/>
  <c r="I29" i="147"/>
  <c r="I30" i="147" s="1"/>
  <c r="C29" i="147"/>
  <c r="C30" i="147" s="1"/>
  <c r="X29" i="146"/>
  <c r="X30" i="146" s="1"/>
  <c r="AB28" i="146"/>
  <c r="AB33" i="146" s="1"/>
  <c r="D30" i="146"/>
  <c r="O38" i="146"/>
  <c r="O40" i="146" s="1"/>
  <c r="S29" i="146"/>
  <c r="E38" i="146"/>
  <c r="S30" i="146"/>
  <c r="R38" i="146"/>
  <c r="R40" i="146" s="1"/>
  <c r="I40" i="146"/>
  <c r="I41" i="146" s="1"/>
  <c r="M40" i="146"/>
  <c r="M41" i="146" s="1"/>
  <c r="L38" i="146"/>
  <c r="D38" i="146"/>
  <c r="M30" i="146"/>
  <c r="AA29" i="146"/>
  <c r="AA30" i="146" s="1"/>
  <c r="J40" i="146"/>
  <c r="J41" i="146" s="1"/>
  <c r="J29" i="146"/>
  <c r="J30" i="146" s="1"/>
  <c r="Q29" i="146"/>
  <c r="Q30" i="146" s="1"/>
  <c r="N29" i="146"/>
  <c r="N30" i="146" s="1"/>
  <c r="H40" i="146"/>
  <c r="H41" i="146"/>
  <c r="K30" i="146"/>
  <c r="O30" i="146"/>
  <c r="K38" i="146"/>
  <c r="N40" i="146"/>
  <c r="N41" i="146" s="1"/>
  <c r="F38" i="146"/>
  <c r="AB20" i="146"/>
  <c r="P30" i="146"/>
  <c r="G38" i="146"/>
  <c r="P38" i="146"/>
  <c r="Y30" i="146"/>
  <c r="I29" i="146"/>
  <c r="I30" i="146" s="1"/>
  <c r="B20" i="145"/>
  <c r="Y28" i="145"/>
  <c r="Y29" i="145" s="1"/>
  <c r="Y30" i="145" s="1"/>
  <c r="I28" i="145"/>
  <c r="I29" i="145" s="1"/>
  <c r="I30" i="145" s="1"/>
  <c r="Z18" i="145"/>
  <c r="X20" i="145"/>
  <c r="W20" i="145"/>
  <c r="C20" i="145"/>
  <c r="E20" i="145"/>
  <c r="F20" i="145"/>
  <c r="G20" i="145"/>
  <c r="H20" i="145"/>
  <c r="AA20" i="145"/>
  <c r="R38" i="145"/>
  <c r="R40" i="145" s="1"/>
  <c r="R41" i="145" s="1"/>
  <c r="J28" i="145"/>
  <c r="J29" i="145" s="1"/>
  <c r="K28" i="145"/>
  <c r="K20" i="145"/>
  <c r="Q20" i="145"/>
  <c r="F29" i="145"/>
  <c r="F30" i="145" s="1"/>
  <c r="V29" i="145"/>
  <c r="V30" i="145" s="1"/>
  <c r="W29" i="145"/>
  <c r="W30" i="145" s="1"/>
  <c r="X29" i="145"/>
  <c r="X30" i="145" s="1"/>
  <c r="U20" i="145"/>
  <c r="AB14" i="145"/>
  <c r="AB18" i="145" s="1"/>
  <c r="G29" i="145"/>
  <c r="G30" i="145" s="1"/>
  <c r="H29" i="145"/>
  <c r="H30" i="145" s="1"/>
  <c r="T20" i="145"/>
  <c r="V20" i="145"/>
  <c r="AB11" i="145"/>
  <c r="C40" i="145"/>
  <c r="C41" i="145" s="1"/>
  <c r="D38" i="145"/>
  <c r="N38" i="145"/>
  <c r="M38" i="145"/>
  <c r="J38" i="145"/>
  <c r="H38" i="145"/>
  <c r="I40" i="145"/>
  <c r="I41" i="145" s="1"/>
  <c r="L29" i="145"/>
  <c r="L30" i="145" s="1"/>
  <c r="O29" i="145"/>
  <c r="B29" i="145"/>
  <c r="C29" i="145"/>
  <c r="C30" i="145" s="1"/>
  <c r="E29" i="145"/>
  <c r="E30" i="145" s="1"/>
  <c r="Z11" i="145"/>
  <c r="P38" i="145"/>
  <c r="N20" i="145"/>
  <c r="S28" i="145"/>
  <c r="S29" i="145" s="1"/>
  <c r="N29" i="145"/>
  <c r="N30" i="145" s="1"/>
  <c r="Q29" i="145"/>
  <c r="Q30" i="145" s="1"/>
  <c r="M28" i="145"/>
  <c r="M29" i="145" s="1"/>
  <c r="O28" i="145"/>
  <c r="T29" i="145"/>
  <c r="T30" i="145" s="1"/>
  <c r="P28" i="145"/>
  <c r="U29" i="145"/>
  <c r="U30" i="145" s="1"/>
  <c r="L20" i="145"/>
  <c r="R28" i="145"/>
  <c r="R29" i="145" s="1"/>
  <c r="D28" i="145"/>
  <c r="D29" i="145" s="1"/>
  <c r="B38" i="145"/>
  <c r="AB29" i="105" l="1"/>
  <c r="Z30" i="105"/>
  <c r="AB29" i="151"/>
  <c r="AB30" i="151" s="1"/>
  <c r="Z30" i="151"/>
  <c r="Q40" i="151"/>
  <c r="Q41" i="151"/>
  <c r="Q41" i="150"/>
  <c r="Q40" i="150"/>
  <c r="AB29" i="150"/>
  <c r="AB30" i="150" s="1"/>
  <c r="Z30" i="150"/>
  <c r="Z29" i="149"/>
  <c r="AB29" i="149" s="1"/>
  <c r="M30" i="149"/>
  <c r="D40" i="149"/>
  <c r="D41" i="149" s="1"/>
  <c r="F40" i="149"/>
  <c r="F41" i="149"/>
  <c r="O40" i="149"/>
  <c r="O41" i="149" s="1"/>
  <c r="Q38" i="149"/>
  <c r="B40" i="149"/>
  <c r="N40" i="149"/>
  <c r="N41" i="149" s="1"/>
  <c r="M40" i="149"/>
  <c r="M41" i="149" s="1"/>
  <c r="C40" i="149"/>
  <c r="C41" i="149"/>
  <c r="AB28" i="149"/>
  <c r="L40" i="148"/>
  <c r="M30" i="148"/>
  <c r="AA30" i="148"/>
  <c r="R40" i="148"/>
  <c r="P41" i="148"/>
  <c r="I41" i="148"/>
  <c r="N41" i="148"/>
  <c r="Q30" i="148"/>
  <c r="P30" i="148"/>
  <c r="N30" i="148"/>
  <c r="L30" i="148"/>
  <c r="J30" i="148"/>
  <c r="I30" i="148"/>
  <c r="O41" i="148"/>
  <c r="AB28" i="148"/>
  <c r="J41" i="148"/>
  <c r="M41" i="148"/>
  <c r="Z30" i="148"/>
  <c r="O30" i="148"/>
  <c r="D40" i="148"/>
  <c r="D41" i="148"/>
  <c r="Q38" i="148"/>
  <c r="K40" i="148"/>
  <c r="G40" i="148"/>
  <c r="F40" i="148"/>
  <c r="Z29" i="147"/>
  <c r="R40" i="147"/>
  <c r="J40" i="147"/>
  <c r="J41" i="147" s="1"/>
  <c r="AB29" i="147"/>
  <c r="E40" i="147"/>
  <c r="E41" i="147" s="1"/>
  <c r="Q38" i="147"/>
  <c r="B40" i="147"/>
  <c r="B41" i="147" s="1"/>
  <c r="M40" i="147"/>
  <c r="P40" i="147"/>
  <c r="P41" i="147"/>
  <c r="L40" i="147"/>
  <c r="L41" i="147" s="1"/>
  <c r="AB28" i="147"/>
  <c r="Q38" i="146"/>
  <c r="AB29" i="146"/>
  <c r="AB30" i="146" s="1"/>
  <c r="O41" i="146"/>
  <c r="E40" i="146"/>
  <c r="E41" i="146"/>
  <c r="K40" i="146"/>
  <c r="K41" i="146" s="1"/>
  <c r="P40" i="146"/>
  <c r="P41" i="146" s="1"/>
  <c r="G40" i="146"/>
  <c r="G41" i="146"/>
  <c r="R41" i="146"/>
  <c r="D40" i="146"/>
  <c r="L40" i="146"/>
  <c r="L41" i="146" s="1"/>
  <c r="F40" i="146"/>
  <c r="F41" i="146" s="1"/>
  <c r="J30" i="145"/>
  <c r="L38" i="145"/>
  <c r="Z20" i="145"/>
  <c r="AA30" i="145"/>
  <c r="K29" i="145"/>
  <c r="K30" i="145" s="1"/>
  <c r="AB20" i="145"/>
  <c r="O30" i="145"/>
  <c r="K38" i="145"/>
  <c r="L40" i="145"/>
  <c r="L41" i="145"/>
  <c r="N40" i="145"/>
  <c r="N41" i="145"/>
  <c r="D40" i="145"/>
  <c r="D41" i="145"/>
  <c r="M30" i="145"/>
  <c r="B40" i="145"/>
  <c r="B41" i="145" s="1"/>
  <c r="D30" i="145"/>
  <c r="O38" i="145"/>
  <c r="B30" i="145"/>
  <c r="R30" i="145"/>
  <c r="G38" i="145"/>
  <c r="H40" i="145"/>
  <c r="H41" i="145" s="1"/>
  <c r="S30" i="145"/>
  <c r="E38" i="145"/>
  <c r="P29" i="145"/>
  <c r="J40" i="145"/>
  <c r="J41" i="145" s="1"/>
  <c r="P40" i="145"/>
  <c r="P41" i="145" s="1"/>
  <c r="M40" i="145"/>
  <c r="M41" i="145"/>
  <c r="F38" i="145"/>
  <c r="Z30" i="149" l="1"/>
  <c r="Q40" i="149"/>
  <c r="B41" i="149"/>
  <c r="Q41" i="149" s="1"/>
  <c r="AB30" i="149"/>
  <c r="AB33" i="149"/>
  <c r="L41" i="148"/>
  <c r="R41" i="148"/>
  <c r="G41" i="148"/>
  <c r="K41" i="148"/>
  <c r="AB33" i="148"/>
  <c r="F41" i="148"/>
  <c r="Q41" i="148" s="1"/>
  <c r="AB29" i="148"/>
  <c r="Q40" i="148"/>
  <c r="M41" i="147"/>
  <c r="R41" i="147"/>
  <c r="Q41" i="147"/>
  <c r="Q40" i="147"/>
  <c r="AB30" i="147"/>
  <c r="AB33" i="147"/>
  <c r="Z30" i="147"/>
  <c r="Q40" i="146"/>
  <c r="Z30" i="146"/>
  <c r="D41" i="146"/>
  <c r="Q41" i="146" s="1"/>
  <c r="F40" i="145"/>
  <c r="F41" i="145" s="1"/>
  <c r="Q38" i="145"/>
  <c r="O40" i="145"/>
  <c r="O41" i="145"/>
  <c r="Z30" i="145"/>
  <c r="AB28" i="145"/>
  <c r="P30" i="145"/>
  <c r="G40" i="145"/>
  <c r="G41" i="145"/>
  <c r="K40" i="145"/>
  <c r="K41" i="145" s="1"/>
  <c r="E40" i="145"/>
  <c r="E41" i="145"/>
  <c r="C11" i="105"/>
  <c r="D11" i="105"/>
  <c r="E11" i="105"/>
  <c r="F11" i="105"/>
  <c r="G11" i="105"/>
  <c r="H11" i="105"/>
  <c r="I11" i="105"/>
  <c r="J11" i="105"/>
  <c r="K11" i="105"/>
  <c r="L11" i="105"/>
  <c r="M11" i="105"/>
  <c r="N11" i="105"/>
  <c r="O11" i="105"/>
  <c r="P11" i="105"/>
  <c r="Q11" i="105"/>
  <c r="R11" i="105"/>
  <c r="S11" i="105"/>
  <c r="T11" i="105"/>
  <c r="U11" i="105"/>
  <c r="V11" i="105"/>
  <c r="W11" i="105"/>
  <c r="X11" i="105"/>
  <c r="Y11" i="105"/>
  <c r="AB30" i="148" l="1"/>
  <c r="Q41" i="145"/>
  <c r="Q40" i="145"/>
  <c r="AB30" i="145"/>
  <c r="AB33" i="145"/>
  <c r="B54" i="52"/>
  <c r="B57" i="52"/>
  <c r="B58" i="52"/>
  <c r="B59" i="52"/>
  <c r="B60" i="52"/>
  <c r="B61" i="52"/>
  <c r="B62" i="52"/>
  <c r="B63" i="52"/>
  <c r="B64" i="52"/>
  <c r="B65" i="52"/>
  <c r="B66" i="52" l="1"/>
  <c r="G18" i="105"/>
  <c r="H18" i="105"/>
  <c r="I18" i="105"/>
  <c r="I20" i="105" s="1"/>
  <c r="R18" i="105"/>
  <c r="T18" i="105"/>
  <c r="U18" i="105"/>
  <c r="Z16" i="105"/>
  <c r="Z17" i="105"/>
  <c r="Z15" i="105"/>
  <c r="B50" i="52"/>
  <c r="F18" i="105"/>
  <c r="F20" i="105" s="1"/>
  <c r="S18" i="105" l="1"/>
  <c r="S20" i="105" s="1"/>
  <c r="K18" i="105"/>
  <c r="K20" i="105" s="1"/>
  <c r="AA11" i="105"/>
  <c r="AB16" i="105"/>
  <c r="AA18" i="105"/>
  <c r="Q18" i="105"/>
  <c r="Q20" i="105" s="1"/>
  <c r="E18" i="105"/>
  <c r="E20" i="105" s="1"/>
  <c r="P18" i="105"/>
  <c r="P20" i="105" s="1"/>
  <c r="D18" i="105"/>
  <c r="D20" i="105" s="1"/>
  <c r="J18" i="105"/>
  <c r="J20" i="105" s="1"/>
  <c r="W18" i="105"/>
  <c r="W20" i="105" s="1"/>
  <c r="V18" i="105"/>
  <c r="V20" i="105" s="1"/>
  <c r="AB17" i="105"/>
  <c r="C18" i="105"/>
  <c r="C20" i="105" s="1"/>
  <c r="Y18" i="105"/>
  <c r="Y20" i="105" s="1"/>
  <c r="M18" i="105"/>
  <c r="M20" i="105" s="1"/>
  <c r="L18" i="105"/>
  <c r="L20" i="105" s="1"/>
  <c r="O18" i="105"/>
  <c r="O20" i="105" s="1"/>
  <c r="N18" i="105"/>
  <c r="N20" i="105" s="1"/>
  <c r="X18" i="105"/>
  <c r="X20" i="105" s="1"/>
  <c r="G20" i="105"/>
  <c r="Z14" i="105"/>
  <c r="AB14" i="105" s="1"/>
  <c r="AB10" i="105"/>
  <c r="AB9" i="105"/>
  <c r="AB7" i="105"/>
  <c r="R20" i="105"/>
  <c r="X30" i="105"/>
  <c r="D41" i="105"/>
  <c r="L30" i="105"/>
  <c r="W30" i="105"/>
  <c r="M30" i="105"/>
  <c r="AA30" i="105"/>
  <c r="H20" i="105"/>
  <c r="T20" i="105"/>
  <c r="U20" i="105"/>
  <c r="AB15" i="105"/>
  <c r="G30" i="105"/>
  <c r="P30" i="105"/>
  <c r="H30" i="105"/>
  <c r="U30" i="105"/>
  <c r="R30" i="105"/>
  <c r="AB8" i="105"/>
  <c r="Q30" i="105"/>
  <c r="AB11" i="105" l="1"/>
  <c r="AA20" i="105"/>
  <c r="Z18" i="105"/>
  <c r="AB18" i="105"/>
  <c r="M41" i="105"/>
  <c r="J41" i="105"/>
  <c r="Y30" i="105"/>
  <c r="B30" i="105"/>
  <c r="S30" i="105"/>
  <c r="E41" i="105"/>
  <c r="Z11" i="105"/>
  <c r="F30" i="105"/>
  <c r="N30" i="105"/>
  <c r="E30" i="105"/>
  <c r="D30" i="105"/>
  <c r="O30" i="105"/>
  <c r="K41" i="105"/>
  <c r="V30" i="105"/>
  <c r="I30" i="105"/>
  <c r="T30" i="105"/>
  <c r="N41" i="105"/>
  <c r="P41" i="105"/>
  <c r="R41" i="105"/>
  <c r="F41" i="105"/>
  <c r="G41" i="105"/>
  <c r="K30" i="105"/>
  <c r="J30" i="105"/>
  <c r="AB20" i="105" l="1"/>
  <c r="Z20" i="105"/>
  <c r="C30" i="105"/>
  <c r="B18" i="52"/>
  <c r="L41" i="105"/>
  <c r="H41" i="105"/>
  <c r="O41" i="105"/>
  <c r="C41" i="105"/>
  <c r="B41" i="105"/>
  <c r="I41" i="105"/>
  <c r="AB30" i="105" l="1"/>
  <c r="Q41" i="105"/>
  <c r="C8" i="52" l="1"/>
  <c r="D8" i="52" s="1"/>
  <c r="D9" i="52" l="1"/>
  <c r="D10" i="52"/>
  <c r="D11" i="52"/>
  <c r="D12" i="52"/>
  <c r="D13" i="52"/>
  <c r="D14" i="52"/>
  <c r="B34" i="52" l="1"/>
  <c r="C16" i="52"/>
  <c r="B15" i="52" l="1"/>
  <c r="B16" i="52" s="1"/>
  <c r="D15" i="52" l="1"/>
  <c r="D16" i="5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Nancy</author>
  </authors>
  <commentList>
    <comment ref="B15" authorId="0" shapeId="0" xr:uid="{E092780C-00D9-4B34-872B-CFD12FCD80BC}">
      <text>
        <r>
          <rPr>
            <b/>
            <sz val="8"/>
            <color indexed="81"/>
            <rFont val="Tahoma"/>
            <family val="2"/>
          </rPr>
          <t>Nancy:</t>
        </r>
        <r>
          <rPr>
            <sz val="8"/>
            <color indexed="81"/>
            <rFont val="Tahoma"/>
            <family val="2"/>
          </rPr>
          <t xml:space="preserve">
THIS IS THE GL TRANSACTIONS TOTAL, NOT INCLUDING THE USE TAX ACCRUED.
</t>
        </r>
      </text>
    </comment>
  </commentList>
</comments>
</file>

<file path=xl/sharedStrings.xml><?xml version="1.0" encoding="utf-8"?>
<sst xmlns="http://schemas.openxmlformats.org/spreadsheetml/2006/main" count="1776" uniqueCount="111">
  <si>
    <t>Monthly Sales Report</t>
  </si>
  <si>
    <t>Stores</t>
  </si>
  <si>
    <t>Row Total</t>
  </si>
  <si>
    <t>Total Sales</t>
  </si>
  <si>
    <t>Taxable Sales</t>
  </si>
  <si>
    <t>Food</t>
  </si>
  <si>
    <t>Paper</t>
  </si>
  <si>
    <t>Misc</t>
  </si>
  <si>
    <t>Equip</t>
  </si>
  <si>
    <t>Norms Restaurants, LLC</t>
  </si>
  <si>
    <t>Other Sales</t>
  </si>
  <si>
    <t>Select Industries, LLC</t>
  </si>
  <si>
    <t>Non-Taxable Sales</t>
  </si>
  <si>
    <t>Unifm</t>
  </si>
  <si>
    <t>Recap</t>
  </si>
  <si>
    <t>P11</t>
  </si>
  <si>
    <t>P12</t>
  </si>
  <si>
    <t>P13</t>
  </si>
  <si>
    <t>Acct 4025</t>
  </si>
  <si>
    <t>Total NT</t>
  </si>
  <si>
    <t>Total T</t>
  </si>
  <si>
    <t>Total NT &amp; T</t>
  </si>
  <si>
    <t>Misc.</t>
  </si>
  <si>
    <t xml:space="preserve">P1  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</si>
  <si>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</si>
  <si>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</si>
  <si>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</si>
  <si>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</si>
  <si>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</si>
  <si>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</si>
  <si>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</si>
  <si>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</si>
  <si>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</si>
  <si>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Sales Accounts   4020-4025</t>
  </si>
  <si>
    <t>13-TOR</t>
  </si>
  <si>
    <t>15-LKW</t>
  </si>
  <si>
    <t>17-ANA</t>
  </si>
  <si>
    <t>18-ORG</t>
  </si>
  <si>
    <t>19-HB</t>
  </si>
  <si>
    <t>20-CM</t>
  </si>
  <si>
    <t>22-WHT</t>
  </si>
  <si>
    <t>23-STOR</t>
  </si>
  <si>
    <t>24-WCOV</t>
  </si>
  <si>
    <t>25-CL</t>
  </si>
  <si>
    <t>42-VN</t>
  </si>
  <si>
    <t>43-SA</t>
  </si>
  <si>
    <t>44-DWN</t>
  </si>
  <si>
    <t>45-RV</t>
  </si>
  <si>
    <t>50-LC</t>
  </si>
  <si>
    <t>61-PR</t>
  </si>
  <si>
    <t>62-EM</t>
  </si>
  <si>
    <t>63-CR</t>
  </si>
  <si>
    <t>11-SLA</t>
  </si>
  <si>
    <t>10-Office</t>
  </si>
  <si>
    <t>Sales Non Taxable #4025</t>
  </si>
  <si>
    <t>Sales  Taxable #4020</t>
  </si>
  <si>
    <t>Acct 4020</t>
  </si>
  <si>
    <t xml:space="preserve"> </t>
  </si>
  <si>
    <t xml:space="preserve">64-IN </t>
  </si>
  <si>
    <t>65-RI</t>
  </si>
  <si>
    <t>10-SC</t>
  </si>
  <si>
    <t>Tax Rate</t>
  </si>
  <si>
    <t>Net Sales</t>
  </si>
  <si>
    <t>Tax</t>
  </si>
  <si>
    <t>69-NH</t>
  </si>
  <si>
    <t>70-ON</t>
  </si>
  <si>
    <t>RECAP by District Tax Area Codes</t>
  </si>
  <si>
    <t>Tax Area</t>
  </si>
  <si>
    <t>City of RI (SB County)</t>
  </si>
  <si>
    <t>ORG COUNTY SALES</t>
  </si>
  <si>
    <t>RV COUNTY SALES</t>
  </si>
  <si>
    <t xml:space="preserve">CITY OF PR </t>
  </si>
  <si>
    <t>LA COUNTY   SALES</t>
  </si>
  <si>
    <t>City of DN</t>
  </si>
  <si>
    <t>City of EM</t>
  </si>
  <si>
    <t>City of IN</t>
  </si>
  <si>
    <t>City of Hunt Park (SLA)</t>
  </si>
  <si>
    <t>City of SA</t>
  </si>
  <si>
    <t>City of WHT</t>
  </si>
  <si>
    <t>City of Bellflower (LK,SC)</t>
  </si>
  <si>
    <t>City of Torrance (NT/ST)</t>
  </si>
  <si>
    <t>Sales Tax</t>
  </si>
  <si>
    <t>City of Carson</t>
  </si>
  <si>
    <t>City of Ontario</t>
  </si>
  <si>
    <t>Report Total</t>
  </si>
  <si>
    <t>CA Total</t>
  </si>
  <si>
    <t>NV 72-LV</t>
  </si>
  <si>
    <t>NV          Las Vegas</t>
  </si>
  <si>
    <t>Sales Taxes - CA</t>
  </si>
  <si>
    <t>Sales Taxes - Nevada (Beg P9)</t>
  </si>
  <si>
    <t>LA COUNTY   SALES (5 -NOT INCOR'D)</t>
  </si>
  <si>
    <t>City of Bellflower (LK / SC)</t>
  </si>
  <si>
    <t>Tax Rate (cur)</t>
  </si>
  <si>
    <t>Sales Taxes - CA &amp; NV</t>
  </si>
  <si>
    <t>(tied in with YTD P&amp;L gross sales)</t>
  </si>
  <si>
    <t>P2  2026 (01/25/2025 - 02/21/2026)</t>
  </si>
  <si>
    <t>P1  2026 (12/28/2025 - 01/24/2026)</t>
  </si>
  <si>
    <t>Year 2026 (12/28/2025 - 12/26/2026)</t>
  </si>
  <si>
    <t>P3  2026 (02/22/2025 - 03/21/2026)</t>
  </si>
  <si>
    <t>P4  2026 (03/22/2025 - 04/18/2026)</t>
  </si>
  <si>
    <t>P6  2026 (05/17/2026 - 06/13/2026)</t>
  </si>
  <si>
    <t>P5  2026 (04/19/2026 - 05/16/2026)</t>
  </si>
  <si>
    <t>P7  2026 (06/14/2026 - 07/11/2026)</t>
  </si>
  <si>
    <t>P8  2026 (07/12/2026 - 08/08/2026)</t>
  </si>
  <si>
    <t>P9  2026 (08/09/2026 - 09/05/2026)</t>
  </si>
  <si>
    <t>P10  2026 (09/06/2026 - 10/03/2026)</t>
  </si>
  <si>
    <t>P11  2026 (10/04/2026 - 10/31/2026)</t>
  </si>
  <si>
    <t>P12  2026 (11/01/2026 - 11/28/2026)</t>
  </si>
  <si>
    <t>P13  2026 (11/29/2026 - 12/26/2026)</t>
  </si>
  <si>
    <t>69-HW</t>
  </si>
  <si>
    <t>65-RT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</si>
</sst>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mmmm\-yy"/>
    <numFmt numFmtId="165" formatCode="0.00_);[Red]\(0.00\)"/>
    <numFmt numFmtId="166" formatCode="[$-409]mmm\-yy;@"/>
    <numFmt numFmtId="167" formatCode="mmmm\ d\,\ yyyy"/>
    <numFmt numFmtId="168" formatCode="0.0000"/>
    <numFmt numFmtId="169" formatCode="[$-409]mmmm\-yy;@"/>
    <numFmt numFmtId="170" formatCode="000"/>
    <numFmt numFmtId="171" formatCode="[$-F800]dddd\,\ mmmm\ dd\,\ yyyy"/>
  </numFmts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i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166" fontId="0" fillId="0" borderId="0"/>
    <xf numFmtId="166" fontId="5" fillId="0" borderId="0"/>
    <xf numFmtId="166" fontId="4" fillId="0" borderId="0"/>
  </cellStyleXfs>
  <cellXfs count="179">
    <xf numFmtId="166" fontId="0" fillId="0" borderId="0" xfId="0"/>
    <xf numFmtId="166" fontId="6" fillId="0" borderId="0" xfId="0" applyFont="1"/>
    <xf numFmtId="164" fontId="6" fillId="0" borderId="0" xfId="0" applyNumberFormat="1" applyFont="1" applyAlignment="1">
      <alignment horizontal="left"/>
    </xf>
    <xf numFmtId="166" fontId="6" fillId="0" borderId="0" xfId="0" applyFont="1" applyAlignment="1">
      <alignment horizontal="center"/>
    </xf>
    <xf numFmtId="166" fontId="6" fillId="0" borderId="1" xfId="0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4" fontId="6" fillId="0" borderId="0" xfId="0" applyNumberFormat="1" applyFont="1" applyAlignment="1">
      <alignment horizontal="center"/>
    </xf>
    <xf numFmtId="4" fontId="6" fillId="0" borderId="0" xfId="0" applyNumberFormat="1" applyFont="1"/>
    <xf numFmtId="164" fontId="6" fillId="0" borderId="1" xfId="0" applyNumberFormat="1" applyFont="1" applyBorder="1" applyAlignment="1">
      <alignment horizontal="left"/>
    </xf>
    <xf numFmtId="168" fontId="6" fillId="0" borderId="0" xfId="0" applyNumberFormat="1" applyFont="1"/>
    <xf numFmtId="166" fontId="6" fillId="0" borderId="0" xfId="0" applyFont="1" applyAlignment="1">
      <alignment horizontal="left"/>
    </xf>
    <xf numFmtId="166" fontId="6" fillId="0" borderId="1" xfId="0" applyFont="1" applyBorder="1" applyAlignment="1">
      <alignment horizontal="center" shrinkToFit="1"/>
    </xf>
    <xf numFmtId="167" fontId="6" fillId="0" borderId="0" xfId="0" applyNumberFormat="1" applyFont="1" applyAlignment="1">
      <alignment horizontal="left"/>
    </xf>
    <xf numFmtId="166" fontId="6" fillId="0" borderId="1" xfId="0" applyFont="1" applyBorder="1" applyAlignment="1">
      <alignment horizontal="center" wrapText="1"/>
    </xf>
    <xf numFmtId="43" fontId="6" fillId="0" borderId="0" xfId="0" applyNumberFormat="1" applyFont="1" applyAlignment="1">
      <alignment horizontal="right"/>
    </xf>
    <xf numFmtId="43" fontId="6" fillId="0" borderId="0" xfId="0" applyNumberFormat="1" applyFont="1"/>
    <xf numFmtId="43" fontId="6" fillId="0" borderId="0" xfId="0" applyNumberFormat="1" applyFont="1" applyAlignment="1">
      <alignment horizontal="center"/>
    </xf>
    <xf numFmtId="43" fontId="6" fillId="0" borderId="1" xfId="0" applyNumberFormat="1" applyFont="1" applyBorder="1" applyAlignment="1">
      <alignment horizontal="right"/>
    </xf>
    <xf numFmtId="43" fontId="6" fillId="0" borderId="1" xfId="0" applyNumberFormat="1" applyFont="1" applyBorder="1"/>
    <xf numFmtId="166" fontId="6" fillId="0" borderId="1" xfId="0" applyFont="1" applyBorder="1" applyAlignment="1">
      <alignment horizontal="left"/>
    </xf>
    <xf numFmtId="164" fontId="10" fillId="0" borderId="0" xfId="0" applyNumberFormat="1" applyFont="1" applyAlignment="1">
      <alignment horizontal="left"/>
    </xf>
    <xf numFmtId="166" fontId="10" fillId="0" borderId="0" xfId="0" applyFont="1" applyAlignment="1">
      <alignment horizontal="left"/>
    </xf>
    <xf numFmtId="166" fontId="10" fillId="0" borderId="0" xfId="0" applyFont="1" applyAlignment="1">
      <alignment horizontal="center"/>
    </xf>
    <xf numFmtId="43" fontId="6" fillId="2" borderId="0" xfId="0" applyNumberFormat="1" applyFont="1" applyFill="1"/>
    <xf numFmtId="43" fontId="6" fillId="2" borderId="0" xfId="0" applyNumberFormat="1" applyFont="1" applyFill="1" applyAlignment="1">
      <alignment horizontal="right"/>
    </xf>
    <xf numFmtId="43" fontId="10" fillId="0" borderId="0" xfId="0" applyNumberFormat="1" applyFont="1" applyAlignment="1">
      <alignment horizontal="right"/>
    </xf>
    <xf numFmtId="166" fontId="10" fillId="0" borderId="0" xfId="0" applyFont="1"/>
    <xf numFmtId="166" fontId="12" fillId="0" borderId="0" xfId="0" applyFont="1"/>
    <xf numFmtId="169" fontId="10" fillId="0" borderId="0" xfId="0" applyNumberFormat="1" applyFont="1" applyAlignment="1">
      <alignment horizontal="left"/>
    </xf>
    <xf numFmtId="164" fontId="12" fillId="0" borderId="0" xfId="0" applyNumberFormat="1" applyFont="1" applyAlignment="1">
      <alignment horizontal="left"/>
    </xf>
    <xf numFmtId="166" fontId="12" fillId="0" borderId="0" xfId="0" applyFont="1" applyAlignment="1">
      <alignment horizontal="center"/>
    </xf>
    <xf numFmtId="166" fontId="12" fillId="0" borderId="4" xfId="0" applyFont="1" applyBorder="1" applyAlignment="1">
      <alignment horizontal="center"/>
    </xf>
    <xf numFmtId="166" fontId="12" fillId="0" borderId="6" xfId="0" applyFont="1" applyBorder="1" applyAlignment="1">
      <alignment horizontal="center"/>
    </xf>
    <xf numFmtId="166" fontId="12" fillId="0" borderId="7" xfId="0" applyFont="1" applyBorder="1" applyAlignment="1">
      <alignment horizontal="center"/>
    </xf>
    <xf numFmtId="166" fontId="12" fillId="0" borderId="0" xfId="0" applyFont="1" applyAlignment="1">
      <alignment wrapText="1"/>
    </xf>
    <xf numFmtId="166" fontId="12" fillId="0" borderId="8" xfId="0" applyFont="1" applyBorder="1" applyAlignment="1">
      <alignment horizontal="center"/>
    </xf>
    <xf numFmtId="39" fontId="12" fillId="0" borderId="0" xfId="0" applyNumberFormat="1" applyFont="1"/>
    <xf numFmtId="39" fontId="10" fillId="0" borderId="8" xfId="0" applyNumberFormat="1" applyFont="1" applyBorder="1"/>
    <xf numFmtId="166" fontId="12" fillId="0" borderId="10" xfId="0" applyFont="1" applyBorder="1"/>
    <xf numFmtId="39" fontId="12" fillId="0" borderId="2" xfId="0" applyNumberFormat="1" applyFont="1" applyBorder="1"/>
    <xf numFmtId="166" fontId="12" fillId="0" borderId="5" xfId="0" applyFont="1" applyBorder="1"/>
    <xf numFmtId="39" fontId="12" fillId="0" borderId="3" xfId="0" applyNumberFormat="1" applyFont="1" applyBorder="1"/>
    <xf numFmtId="40" fontId="12" fillId="0" borderId="10" xfId="0" applyNumberFormat="1" applyFont="1" applyBorder="1"/>
    <xf numFmtId="40" fontId="12" fillId="0" borderId="9" xfId="0" applyNumberFormat="1" applyFont="1" applyBorder="1"/>
    <xf numFmtId="39" fontId="12" fillId="0" borderId="1" xfId="0" applyNumberFormat="1" applyFont="1" applyBorder="1"/>
    <xf numFmtId="40" fontId="10" fillId="0" borderId="10" xfId="0" applyNumberFormat="1" applyFont="1" applyBorder="1"/>
    <xf numFmtId="165" fontId="12" fillId="0" borderId="3" xfId="0" applyNumberFormat="1" applyFont="1" applyBorder="1"/>
    <xf numFmtId="165" fontId="12" fillId="0" borderId="0" xfId="0" applyNumberFormat="1" applyFont="1"/>
    <xf numFmtId="39" fontId="10" fillId="0" borderId="0" xfId="0" applyNumberFormat="1" applyFont="1"/>
    <xf numFmtId="166" fontId="12" fillId="0" borderId="4" xfId="0" applyFont="1" applyBorder="1"/>
    <xf numFmtId="166" fontId="10" fillId="0" borderId="6" xfId="0" applyFont="1" applyBorder="1" applyAlignment="1">
      <alignment horizontal="center" wrapText="1"/>
    </xf>
    <xf numFmtId="166" fontId="10" fillId="0" borderId="4" xfId="0" applyFont="1" applyBorder="1"/>
    <xf numFmtId="166" fontId="10" fillId="0" borderId="8" xfId="0" applyFont="1" applyBorder="1"/>
    <xf numFmtId="10" fontId="10" fillId="0" borderId="8" xfId="0" applyNumberFormat="1" applyFont="1" applyBorder="1"/>
    <xf numFmtId="10" fontId="12" fillId="0" borderId="0" xfId="0" applyNumberFormat="1" applyFont="1"/>
    <xf numFmtId="43" fontId="10" fillId="0" borderId="8" xfId="0" applyNumberFormat="1" applyFont="1" applyBorder="1" applyAlignment="1">
      <alignment horizontal="left"/>
    </xf>
    <xf numFmtId="43" fontId="12" fillId="0" borderId="0" xfId="0" applyNumberFormat="1" applyFont="1"/>
    <xf numFmtId="166" fontId="10" fillId="0" borderId="12" xfId="0" applyFont="1" applyBorder="1" applyAlignment="1">
      <alignment horizontal="left"/>
    </xf>
    <xf numFmtId="166" fontId="10" fillId="0" borderId="12" xfId="0" applyFont="1" applyBorder="1"/>
    <xf numFmtId="166" fontId="12" fillId="0" borderId="12" xfId="0" applyFont="1" applyBorder="1"/>
    <xf numFmtId="166" fontId="10" fillId="0" borderId="13" xfId="0" applyFont="1" applyBorder="1" applyAlignment="1">
      <alignment horizontal="left"/>
    </xf>
    <xf numFmtId="166" fontId="10" fillId="0" borderId="13" xfId="0" applyFont="1" applyBorder="1"/>
    <xf numFmtId="166" fontId="12" fillId="0" borderId="13" xfId="0" applyFont="1" applyBorder="1"/>
    <xf numFmtId="166" fontId="12" fillId="0" borderId="14" xfId="0" applyFont="1" applyBorder="1" applyAlignment="1">
      <alignment horizontal="center"/>
    </xf>
    <xf numFmtId="170" fontId="11" fillId="0" borderId="15" xfId="0" applyNumberFormat="1" applyFont="1" applyBorder="1" applyAlignment="1">
      <alignment horizontal="center"/>
    </xf>
    <xf numFmtId="170" fontId="11" fillId="0" borderId="16" xfId="0" applyNumberFormat="1" applyFont="1" applyBorder="1" applyAlignment="1">
      <alignment horizontal="center"/>
    </xf>
    <xf numFmtId="37" fontId="0" fillId="0" borderId="17" xfId="0" applyNumberFormat="1" applyBorder="1" applyAlignment="1">
      <alignment horizontal="center" wrapText="1"/>
    </xf>
    <xf numFmtId="37" fontId="3" fillId="0" borderId="15" xfId="0" applyNumberFormat="1" applyFont="1" applyBorder="1" applyAlignment="1">
      <alignment horizontal="center" wrapText="1"/>
    </xf>
    <xf numFmtId="37" fontId="0" fillId="0" borderId="15" xfId="0" applyNumberFormat="1" applyBorder="1" applyAlignment="1">
      <alignment horizontal="center" wrapText="1"/>
    </xf>
    <xf numFmtId="37" fontId="0" fillId="0" borderId="16" xfId="0" applyNumberFormat="1" applyBorder="1" applyAlignment="1">
      <alignment horizontal="center" wrapText="1"/>
    </xf>
    <xf numFmtId="166" fontId="12" fillId="0" borderId="9" xfId="0" applyFont="1" applyBorder="1"/>
    <xf numFmtId="40" fontId="12" fillId="0" borderId="18" xfId="0" applyNumberFormat="1" applyFont="1" applyBorder="1"/>
    <xf numFmtId="40" fontId="12" fillId="0" borderId="19" xfId="0" applyNumberFormat="1" applyFont="1" applyBorder="1"/>
    <xf numFmtId="40" fontId="12" fillId="0" borderId="20" xfId="0" applyNumberFormat="1" applyFont="1" applyBorder="1"/>
    <xf numFmtId="10" fontId="12" fillId="0" borderId="10" xfId="0" applyNumberFormat="1" applyFont="1" applyBorder="1"/>
    <xf numFmtId="10" fontId="12" fillId="0" borderId="21" xfId="0" applyNumberFormat="1" applyFont="1" applyBorder="1"/>
    <xf numFmtId="10" fontId="12" fillId="0" borderId="12" xfId="0" applyNumberFormat="1" applyFont="1" applyBorder="1"/>
    <xf numFmtId="10" fontId="12" fillId="0" borderId="22" xfId="0" applyNumberFormat="1" applyFont="1" applyBorder="1"/>
    <xf numFmtId="10" fontId="12" fillId="0" borderId="23" xfId="0" applyNumberFormat="1" applyFont="1" applyBorder="1"/>
    <xf numFmtId="40" fontId="12" fillId="0" borderId="24" xfId="0" applyNumberFormat="1" applyFont="1" applyBorder="1"/>
    <xf numFmtId="40" fontId="12" fillId="0" borderId="13" xfId="0" applyNumberFormat="1" applyFont="1" applyBorder="1"/>
    <xf numFmtId="40" fontId="12" fillId="0" borderId="25" xfId="0" applyNumberFormat="1" applyFont="1" applyBorder="1"/>
    <xf numFmtId="40" fontId="12" fillId="0" borderId="17" xfId="0" applyNumberFormat="1" applyFont="1" applyBorder="1"/>
    <xf numFmtId="40" fontId="12" fillId="0" borderId="15" xfId="0" applyNumberFormat="1" applyFont="1" applyBorder="1"/>
    <xf numFmtId="40" fontId="12" fillId="0" borderId="16" xfId="0" applyNumberFormat="1" applyFont="1" applyBorder="1"/>
    <xf numFmtId="40" fontId="12" fillId="0" borderId="4" xfId="0" applyNumberFormat="1" applyFont="1" applyBorder="1"/>
    <xf numFmtId="37" fontId="2" fillId="0" borderId="15" xfId="0" applyNumberFormat="1" applyFont="1" applyBorder="1" applyAlignment="1">
      <alignment horizontal="center" wrapText="1"/>
    </xf>
    <xf numFmtId="166" fontId="13" fillId="0" borderId="4" xfId="0" applyFont="1" applyBorder="1" applyAlignment="1">
      <alignment horizontal="center" wrapText="1"/>
    </xf>
    <xf numFmtId="166" fontId="10" fillId="0" borderId="4" xfId="0" applyFont="1" applyBorder="1" applyAlignment="1">
      <alignment horizontal="center" wrapText="1"/>
    </xf>
    <xf numFmtId="39" fontId="12" fillId="0" borderId="6" xfId="0" applyNumberFormat="1" applyFont="1" applyBorder="1"/>
    <xf numFmtId="40" fontId="6" fillId="0" borderId="0" xfId="0" applyNumberFormat="1" applyFont="1"/>
    <xf numFmtId="40" fontId="6" fillId="0" borderId="0" xfId="0" applyNumberFormat="1" applyFont="1" applyAlignment="1">
      <alignment horizontal="left"/>
    </xf>
    <xf numFmtId="166" fontId="10" fillId="0" borderId="7" xfId="0" applyFont="1" applyBorder="1" applyAlignment="1">
      <alignment horizontal="center" wrapText="1"/>
    </xf>
    <xf numFmtId="39" fontId="10" fillId="0" borderId="26" xfId="0" applyNumberFormat="1" applyFont="1" applyBorder="1"/>
    <xf numFmtId="39" fontId="10" fillId="0" borderId="7" xfId="0" applyNumberFormat="1" applyFont="1" applyBorder="1"/>
    <xf numFmtId="39" fontId="10" fillId="0" borderId="27" xfId="0" applyNumberFormat="1" applyFont="1" applyBorder="1"/>
    <xf numFmtId="166" fontId="10" fillId="0" borderId="7" xfId="0" applyFont="1" applyBorder="1" applyAlignment="1">
      <alignment horizontal="center"/>
    </xf>
    <xf numFmtId="39" fontId="10" fillId="0" borderId="28" xfId="0" applyNumberFormat="1" applyFont="1" applyBorder="1"/>
    <xf numFmtId="166" fontId="10" fillId="0" borderId="7" xfId="0" applyFont="1" applyBorder="1"/>
    <xf numFmtId="10" fontId="10" fillId="0" borderId="26" xfId="0" applyNumberFormat="1" applyFont="1" applyBorder="1"/>
    <xf numFmtId="43" fontId="10" fillId="0" borderId="26" xfId="0" applyNumberFormat="1" applyFont="1" applyBorder="1"/>
    <xf numFmtId="39" fontId="12" fillId="0" borderId="8" xfId="0" applyNumberFormat="1" applyFont="1" applyBorder="1"/>
    <xf numFmtId="39" fontId="12" fillId="0" borderId="4" xfId="0" applyNumberFormat="1" applyFont="1" applyBorder="1"/>
    <xf numFmtId="39" fontId="12" fillId="0" borderId="5" xfId="0" applyNumberFormat="1" applyFont="1" applyBorder="1"/>
    <xf numFmtId="39" fontId="12" fillId="0" borderId="9" xfId="0" applyNumberFormat="1" applyFont="1" applyBorder="1"/>
    <xf numFmtId="165" fontId="12" fillId="0" borderId="5" xfId="0" applyNumberFormat="1" applyFont="1" applyBorder="1"/>
    <xf numFmtId="165" fontId="12" fillId="0" borderId="8" xfId="0" applyNumberFormat="1" applyFont="1" applyBorder="1"/>
    <xf numFmtId="166" fontId="12" fillId="0" borderId="8" xfId="0" applyFont="1" applyBorder="1"/>
    <xf numFmtId="10" fontId="12" fillId="0" borderId="8" xfId="0" applyNumberFormat="1" applyFont="1" applyBorder="1"/>
    <xf numFmtId="39" fontId="12" fillId="0" borderId="26" xfId="0" applyNumberFormat="1" applyFont="1" applyBorder="1"/>
    <xf numFmtId="39" fontId="12" fillId="0" borderId="27" xfId="0" applyNumberFormat="1" applyFont="1" applyBorder="1"/>
    <xf numFmtId="39" fontId="12" fillId="0" borderId="28" xfId="0" applyNumberFormat="1" applyFont="1" applyBorder="1"/>
    <xf numFmtId="165" fontId="12" fillId="0" borderId="27" xfId="0" applyNumberFormat="1" applyFont="1" applyBorder="1"/>
    <xf numFmtId="165" fontId="12" fillId="0" borderId="26" xfId="0" applyNumberFormat="1" applyFont="1" applyBorder="1"/>
    <xf numFmtId="166" fontId="12" fillId="0" borderId="26" xfId="0" applyFont="1" applyBorder="1"/>
    <xf numFmtId="166" fontId="12" fillId="0" borderId="22" xfId="0" applyFont="1" applyBorder="1"/>
    <xf numFmtId="166" fontId="12" fillId="0" borderId="25" xfId="0" applyFont="1" applyBorder="1"/>
    <xf numFmtId="166" fontId="12" fillId="0" borderId="30" xfId="0" applyFont="1" applyBorder="1" applyAlignment="1">
      <alignment horizontal="center"/>
    </xf>
    <xf numFmtId="40" fontId="12" fillId="0" borderId="31" xfId="0" applyNumberFormat="1" applyFont="1" applyBorder="1"/>
    <xf numFmtId="40" fontId="12" fillId="0" borderId="32" xfId="0" applyNumberFormat="1" applyFont="1" applyBorder="1"/>
    <xf numFmtId="40" fontId="12" fillId="0" borderId="30" xfId="0" applyNumberFormat="1" applyFont="1" applyBorder="1"/>
    <xf numFmtId="166" fontId="12" fillId="0" borderId="11" xfId="0" applyFont="1" applyBorder="1"/>
    <xf numFmtId="166" fontId="12" fillId="0" borderId="23" xfId="0" applyFont="1" applyBorder="1" applyAlignment="1">
      <alignment horizontal="center"/>
    </xf>
    <xf numFmtId="0" fontId="12" fillId="0" borderId="11" xfId="0" applyNumberFormat="1" applyFont="1" applyBorder="1" applyAlignment="1">
      <alignment horizontal="center" wrapText="1"/>
    </xf>
    <xf numFmtId="40" fontId="6" fillId="0" borderId="1" xfId="0" applyNumberFormat="1" applyFont="1" applyBorder="1"/>
    <xf numFmtId="166" fontId="10" fillId="0" borderId="16" xfId="0" applyFont="1" applyBorder="1" applyAlignment="1">
      <alignment horizontal="center" wrapText="1"/>
    </xf>
    <xf numFmtId="10" fontId="12" fillId="0" borderId="33" xfId="0" applyNumberFormat="1" applyFont="1" applyBorder="1"/>
    <xf numFmtId="43" fontId="12" fillId="0" borderId="22" xfId="0" applyNumberFormat="1" applyFont="1" applyBorder="1"/>
    <xf numFmtId="43" fontId="12" fillId="0" borderId="10" xfId="0" applyNumberFormat="1" applyFont="1" applyBorder="1"/>
    <xf numFmtId="43" fontId="12" fillId="0" borderId="6" xfId="0" applyNumberFormat="1" applyFont="1" applyBorder="1"/>
    <xf numFmtId="43" fontId="12" fillId="0" borderId="16" xfId="0" applyNumberFormat="1" applyFont="1" applyBorder="1"/>
    <xf numFmtId="43" fontId="12" fillId="0" borderId="4" xfId="0" applyNumberFormat="1" applyFont="1" applyBorder="1"/>
    <xf numFmtId="43" fontId="10" fillId="0" borderId="7" xfId="0" applyNumberFormat="1" applyFont="1" applyBorder="1"/>
    <xf numFmtId="166" fontId="12" fillId="0" borderId="6" xfId="0" applyFont="1" applyBorder="1"/>
    <xf numFmtId="166" fontId="12" fillId="0" borderId="16" xfId="0" applyFont="1" applyBorder="1"/>
    <xf numFmtId="43" fontId="10" fillId="3" borderId="33" xfId="0" applyNumberFormat="1" applyFont="1" applyFill="1" applyBorder="1"/>
    <xf numFmtId="39" fontId="10" fillId="3" borderId="29" xfId="0" applyNumberFormat="1" applyFont="1" applyFill="1" applyBorder="1"/>
    <xf numFmtId="40" fontId="12" fillId="3" borderId="23" xfId="0" applyNumberFormat="1" applyFont="1" applyFill="1" applyBorder="1"/>
    <xf numFmtId="40" fontId="12" fillId="3" borderId="31" xfId="0" applyNumberFormat="1" applyFont="1" applyFill="1" applyBorder="1"/>
    <xf numFmtId="39" fontId="12" fillId="4" borderId="10" xfId="0" applyNumberFormat="1" applyFont="1" applyFill="1" applyBorder="1"/>
    <xf numFmtId="39" fontId="12" fillId="4" borderId="4" xfId="0" applyNumberFormat="1" applyFont="1" applyFill="1" applyBorder="1"/>
    <xf numFmtId="39" fontId="12" fillId="5" borderId="4" xfId="0" applyNumberFormat="1" applyFont="1" applyFill="1" applyBorder="1"/>
    <xf numFmtId="39" fontId="10" fillId="3" borderId="7" xfId="0" applyNumberFormat="1" applyFont="1" applyFill="1" applyBorder="1"/>
    <xf numFmtId="39" fontId="12" fillId="5" borderId="10" xfId="0" applyNumberFormat="1" applyFont="1" applyFill="1" applyBorder="1"/>
    <xf numFmtId="43" fontId="10" fillId="5" borderId="8" xfId="0" applyNumberFormat="1" applyFont="1" applyFill="1" applyBorder="1"/>
    <xf numFmtId="164" fontId="9" fillId="0" borderId="1" xfId="0" applyNumberFormat="1" applyFont="1" applyBorder="1" applyAlignment="1">
      <alignment horizontal="left"/>
    </xf>
    <xf numFmtId="0" fontId="12" fillId="0" borderId="34" xfId="0" applyNumberFormat="1" applyFont="1" applyBorder="1" applyAlignment="1">
      <alignment horizontal="center" wrapText="1"/>
    </xf>
    <xf numFmtId="10" fontId="12" fillId="0" borderId="29" xfId="0" applyNumberFormat="1" applyFont="1" applyBorder="1"/>
    <xf numFmtId="40" fontId="12" fillId="0" borderId="7" xfId="0" applyNumberFormat="1" applyFont="1" applyBorder="1"/>
    <xf numFmtId="10" fontId="12" fillId="0" borderId="9" xfId="0" applyNumberFormat="1" applyFont="1" applyBorder="1"/>
    <xf numFmtId="39" fontId="12" fillId="5" borderId="30" xfId="0" applyNumberFormat="1" applyFont="1" applyFill="1" applyBorder="1"/>
    <xf numFmtId="39" fontId="10" fillId="3" borderId="4" xfId="0" applyNumberFormat="1" applyFont="1" applyFill="1" applyBorder="1"/>
    <xf numFmtId="166" fontId="10" fillId="0" borderId="30" xfId="0" applyFont="1" applyBorder="1" applyAlignment="1">
      <alignment horizontal="center" wrapText="1"/>
    </xf>
    <xf numFmtId="165" fontId="12" fillId="0" borderId="35" xfId="0" applyNumberFormat="1" applyFont="1" applyBorder="1"/>
    <xf numFmtId="40" fontId="9" fillId="0" borderId="0" xfId="0" applyNumberFormat="1" applyFont="1"/>
    <xf numFmtId="10" fontId="12" fillId="2" borderId="12" xfId="0" applyNumberFormat="1" applyFont="1" applyFill="1" applyBorder="1"/>
    <xf numFmtId="37" fontId="1" fillId="0" borderId="15" xfId="0" applyNumberFormat="1" applyFont="1" applyBorder="1" applyAlignment="1">
      <alignment horizontal="center" wrapText="1"/>
    </xf>
    <xf numFmtId="10" fontId="12" fillId="2" borderId="22" xfId="0" applyNumberFormat="1" applyFont="1" applyFill="1" applyBorder="1"/>
    <xf numFmtId="10" fontId="12" fillId="2" borderId="0" xfId="0" applyNumberFormat="1" applyFont="1" applyFill="1"/>
    <xf numFmtId="39" fontId="12" fillId="2" borderId="4" xfId="0" applyNumberFormat="1" applyFont="1" applyFill="1" applyBorder="1"/>
    <xf numFmtId="43" fontId="12" fillId="2" borderId="4" xfId="0" applyNumberFormat="1" applyFont="1" applyFill="1" applyBorder="1"/>
    <xf numFmtId="43" fontId="6" fillId="2" borderId="4" xfId="0" applyNumberFormat="1" applyFont="1" applyFill="1" applyBorder="1"/>
    <xf numFmtId="43" fontId="6" fillId="0" borderId="0" xfId="0" applyNumberFormat="1" applyFont="1" applyAlignment="1">
      <alignment horizontal="left"/>
    </xf>
    <xf numFmtId="171" fontId="6" fillId="0" borderId="0" xfId="0" applyNumberFormat="1" applyFont="1"/>
    <xf numFmtId="40" fontId="6" fillId="2" borderId="0" xfId="0" applyNumberFormat="1" applyFont="1" applyFill="1"/>
    <xf numFmtId="166" fontId="12" fillId="0" borderId="36" xfId="0" applyFont="1" applyBorder="1" applyAlignment="1">
      <alignment horizontal="center"/>
    </xf>
    <xf numFmtId="170" fontId="11" fillId="0" borderId="37" xfId="0" applyNumberFormat="1" applyFont="1" applyBorder="1" applyAlignment="1">
      <alignment horizontal="center"/>
    </xf>
    <xf numFmtId="170" fontId="11" fillId="0" borderId="38" xfId="0" applyNumberFormat="1" applyFont="1" applyBorder="1" applyAlignment="1">
      <alignment horizontal="center"/>
    </xf>
    <xf numFmtId="166" fontId="12" fillId="0" borderId="35" xfId="0" applyFont="1" applyBorder="1" applyAlignment="1">
      <alignment horizontal="center"/>
    </xf>
    <xf numFmtId="166" fontId="10" fillId="0" borderId="39" xfId="0" applyFont="1" applyBorder="1" applyAlignment="1">
      <alignment horizontal="left"/>
    </xf>
    <xf numFmtId="166" fontId="10" fillId="0" borderId="40" xfId="0" applyFont="1" applyBorder="1"/>
    <xf numFmtId="166" fontId="12" fillId="0" borderId="40" xfId="0" applyFont="1" applyBorder="1"/>
    <xf numFmtId="166" fontId="12" fillId="0" borderId="41" xfId="0" applyFont="1" applyBorder="1"/>
    <xf numFmtId="166" fontId="10" fillId="0" borderId="42" xfId="0" applyFont="1" applyBorder="1" applyAlignment="1">
      <alignment horizontal="left"/>
    </xf>
    <xf numFmtId="166" fontId="10" fillId="0" borderId="43" xfId="0" applyFont="1" applyBorder="1"/>
    <xf numFmtId="166" fontId="12" fillId="0" borderId="43" xfId="0" applyFont="1" applyBorder="1"/>
    <xf numFmtId="166" fontId="12" fillId="0" borderId="44" xfId="0" applyFont="1" applyBorder="1"/>
    <xf numFmtId="166" fontId="12" fillId="0" borderId="45" xfId="0" applyFont="1" applyBorder="1"/>
    <xf numFmtId="4" fontId="6" fillId="0" borderId="0" xfId="0" applyNumberFormat="1" applyFont="1"/>
  </cellXfs>
  <cellStyles count="3">
    <cellStyle name="Normal" xfId="0" builtinId="0"/>
    <cellStyle name="Normal 2" xfId="1" xr:uid="{00000000-0005-0000-0000-000001000000}"/>
    <cellStyle name="Normal 2 2" xfId="2" xr:uid="{AD99DD16-1851-4864-895B-0A000295ED9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66"/>
  <sheetViews>
    <sheetView workbookViewId="0">
      <selection activeCell="B25" sqref="B25"/>
    </sheetView>
  </sheetViews>
  <sheetFormatPr defaultColWidth="9.140625" defaultRowHeight="12.75" x14ac:dyDescent="0.2"/>
  <cols>
    <col min="1" max="1" width="24.140625" style="1" bestFit="1" customWidth="1"/>
    <col min="2" max="2" width="16.140625" style="1" customWidth="1"/>
    <col min="3" max="3" width="16.42578125" style="1" customWidth="1"/>
    <col min="4" max="4" width="14" style="1" customWidth="1"/>
    <col min="5" max="5" width="9.85546875" style="1" customWidth="1"/>
    <col min="6" max="6" width="10.140625" style="1" customWidth="1"/>
    <col min="7" max="7" width="9.42578125" style="1" customWidth="1"/>
    <col min="8" max="9" width="10.42578125" style="1" customWidth="1"/>
    <col min="10" max="10" width="12" style="1" customWidth="1"/>
    <col min="11" max="16384" width="9.140625" style="1"/>
  </cols>
  <sheetData>
    <row r="1" spans="1:24" x14ac:dyDescent="0.2">
      <c r="A1" s="10" t="s">
        <v>11</v>
      </c>
      <c r="B1" s="10"/>
      <c r="C1" s="10"/>
      <c r="D1" s="10"/>
      <c r="E1" s="10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x14ac:dyDescent="0.2">
      <c r="A2" s="10" t="s">
        <v>33</v>
      </c>
      <c r="B2" s="10"/>
      <c r="C2" s="10"/>
      <c r="D2" s="10"/>
      <c r="E2" s="10"/>
    </row>
    <row r="3" spans="1:24" x14ac:dyDescent="0.2">
      <c r="A3" s="163">
        <v>46130</v>
      </c>
      <c r="B3" s="12"/>
      <c r="C3" s="12"/>
      <c r="D3" s="12"/>
      <c r="E3" s="12"/>
      <c r="F3" s="3"/>
      <c r="G3" s="3"/>
      <c r="H3" s="3"/>
      <c r="I3" s="3"/>
      <c r="J3" s="3"/>
    </row>
    <row r="4" spans="1:24" x14ac:dyDescent="0.2">
      <c r="B4" s="10"/>
      <c r="C4" s="10"/>
      <c r="D4" s="10"/>
      <c r="E4" s="10"/>
      <c r="F4" s="3"/>
      <c r="G4" s="3"/>
      <c r="H4" s="3"/>
      <c r="I4" s="3"/>
      <c r="J4" s="3"/>
    </row>
    <row r="5" spans="1:24" s="3" customFormat="1" x14ac:dyDescent="0.2">
      <c r="B5" s="3" t="s">
        <v>56</v>
      </c>
      <c r="C5" s="3" t="s">
        <v>18</v>
      </c>
    </row>
    <row r="6" spans="1:24" s="3" customFormat="1" ht="14.25" customHeight="1" x14ac:dyDescent="0.2">
      <c r="A6" s="4"/>
      <c r="B6" s="13" t="s">
        <v>4</v>
      </c>
      <c r="C6" s="13" t="s">
        <v>12</v>
      </c>
      <c r="D6" s="11" t="s">
        <v>3</v>
      </c>
    </row>
    <row r="7" spans="1:24" ht="13.5" thickBot="1" x14ac:dyDescent="0.25">
      <c r="A7" s="5"/>
    </row>
    <row r="8" spans="1:24" ht="13.5" thickBot="1" x14ac:dyDescent="0.25">
      <c r="A8" s="2" t="s">
        <v>9</v>
      </c>
      <c r="B8" s="23">
        <f>'2026'!AB28</f>
        <v>168368.79253232162</v>
      </c>
      <c r="C8" s="24">
        <f>'2026'!AB11</f>
        <v>10231307.65</v>
      </c>
      <c r="D8" s="161">
        <f>B8+C8</f>
        <v>10399676.442532321</v>
      </c>
      <c r="E8" s="162" t="s">
        <v>94</v>
      </c>
      <c r="F8" s="16"/>
      <c r="G8" s="16"/>
      <c r="H8" s="15"/>
      <c r="I8" s="7"/>
      <c r="J8" s="6"/>
    </row>
    <row r="9" spans="1:24" hidden="1" x14ac:dyDescent="0.2">
      <c r="A9" s="2" t="s">
        <v>10</v>
      </c>
      <c r="B9" s="15"/>
      <c r="C9" s="14"/>
      <c r="D9" s="15">
        <f t="shared" ref="D9:D14" si="0">SUM(B9:B9)</f>
        <v>0</v>
      </c>
      <c r="E9" s="16"/>
      <c r="F9" s="16"/>
      <c r="G9" s="16"/>
      <c r="H9" s="15"/>
      <c r="I9" s="7"/>
      <c r="J9" s="6"/>
    </row>
    <row r="10" spans="1:24" hidden="1" x14ac:dyDescent="0.2">
      <c r="A10" s="2"/>
      <c r="B10" s="15"/>
      <c r="C10" s="14"/>
      <c r="D10" s="15">
        <f t="shared" si="0"/>
        <v>0</v>
      </c>
      <c r="E10" s="16"/>
      <c r="F10" s="16"/>
      <c r="G10" s="16"/>
      <c r="H10" s="15"/>
      <c r="I10" s="7"/>
      <c r="J10" s="6"/>
    </row>
    <row r="11" spans="1:24" hidden="1" x14ac:dyDescent="0.2">
      <c r="A11" s="2"/>
      <c r="B11" s="15"/>
      <c r="C11" s="14"/>
      <c r="D11" s="15">
        <f t="shared" si="0"/>
        <v>0</v>
      </c>
      <c r="E11" s="16"/>
      <c r="F11" s="16"/>
      <c r="G11" s="16"/>
      <c r="H11" s="15"/>
      <c r="I11" s="7"/>
      <c r="J11" s="6"/>
    </row>
    <row r="12" spans="1:24" hidden="1" x14ac:dyDescent="0.2">
      <c r="A12" s="2"/>
      <c r="B12" s="15"/>
      <c r="C12" s="14"/>
      <c r="D12" s="15">
        <f t="shared" si="0"/>
        <v>0</v>
      </c>
      <c r="E12" s="16"/>
      <c r="F12" s="16"/>
      <c r="G12" s="16"/>
      <c r="H12" s="15"/>
      <c r="I12" s="7"/>
      <c r="J12" s="6"/>
    </row>
    <row r="13" spans="1:24" hidden="1" x14ac:dyDescent="0.2">
      <c r="A13" s="2"/>
      <c r="B13" s="15"/>
      <c r="C13" s="14"/>
      <c r="D13" s="15">
        <f t="shared" si="0"/>
        <v>0</v>
      </c>
      <c r="E13" s="16"/>
      <c r="F13" s="16"/>
      <c r="G13" s="16"/>
      <c r="H13" s="15"/>
      <c r="I13" s="7"/>
      <c r="J13" s="6"/>
    </row>
    <row r="14" spans="1:24" x14ac:dyDescent="0.2">
      <c r="A14" s="2"/>
      <c r="B14" s="15"/>
      <c r="C14" s="14"/>
      <c r="D14" s="15">
        <f t="shared" si="0"/>
        <v>0</v>
      </c>
      <c r="E14" s="16"/>
      <c r="F14" s="16"/>
      <c r="G14" s="16"/>
      <c r="H14" s="15"/>
      <c r="I14" s="7"/>
      <c r="J14" s="6"/>
    </row>
    <row r="15" spans="1:24" x14ac:dyDescent="0.2">
      <c r="A15" s="8" t="s">
        <v>81</v>
      </c>
      <c r="B15" s="17">
        <f>B34+B50</f>
        <v>16258.337979770444</v>
      </c>
      <c r="C15" s="17"/>
      <c r="D15" s="18">
        <f>B15+C15</f>
        <v>16258.337979770444</v>
      </c>
      <c r="E15" s="16"/>
      <c r="F15" s="16"/>
      <c r="G15" s="16"/>
      <c r="H15" s="15"/>
      <c r="I15" s="7"/>
      <c r="J15" s="6"/>
    </row>
    <row r="16" spans="1:24" ht="15" x14ac:dyDescent="0.25">
      <c r="A16" s="5"/>
      <c r="B16" s="25">
        <f>SUM(B8:B15)</f>
        <v>184627.13051209206</v>
      </c>
      <c r="C16" s="25">
        <f>SUM(C8:C15)</f>
        <v>10231307.65</v>
      </c>
      <c r="D16" s="25">
        <f>SUM(D8:D15)</f>
        <v>10415934.780512093</v>
      </c>
      <c r="E16" s="16"/>
      <c r="F16" s="16"/>
      <c r="G16" s="16"/>
      <c r="H16" s="15" t="s">
        <v>57</v>
      </c>
      <c r="I16" s="7"/>
      <c r="J16" s="6"/>
    </row>
    <row r="17" spans="1:19" x14ac:dyDescent="0.2">
      <c r="A17" s="5"/>
      <c r="B17" s="15"/>
      <c r="C17" s="16"/>
      <c r="D17" s="15"/>
      <c r="E17" s="16"/>
      <c r="F17" s="16"/>
      <c r="G17" s="16"/>
      <c r="H17" s="15"/>
      <c r="I17" s="7"/>
      <c r="J17" s="6"/>
    </row>
    <row r="18" spans="1:19" x14ac:dyDescent="0.2">
      <c r="A18" s="5"/>
      <c r="B18" s="154">
        <f>'2026'!AB29</f>
        <v>16258.337467678426</v>
      </c>
      <c r="C18" s="16"/>
      <c r="D18" s="15"/>
      <c r="E18" s="16"/>
      <c r="F18" s="16"/>
      <c r="G18" s="16"/>
      <c r="H18" s="15"/>
      <c r="I18" s="7"/>
      <c r="J18" s="6"/>
    </row>
    <row r="19" spans="1:19" x14ac:dyDescent="0.2">
      <c r="A19" s="5"/>
      <c r="B19" s="15"/>
      <c r="C19" s="16"/>
      <c r="D19" s="15"/>
      <c r="E19" s="16"/>
      <c r="F19" s="16"/>
      <c r="G19" s="16"/>
      <c r="H19" s="15"/>
      <c r="I19" s="7"/>
      <c r="J19" s="6"/>
    </row>
    <row r="20" spans="1:19" x14ac:dyDescent="0.2">
      <c r="A20" s="145" t="s">
        <v>88</v>
      </c>
      <c r="B20" s="18"/>
      <c r="C20" s="16"/>
      <c r="D20" s="15"/>
      <c r="E20" s="16"/>
      <c r="F20" s="16"/>
      <c r="G20" s="16"/>
      <c r="H20" s="15"/>
      <c r="I20" s="7"/>
      <c r="J20" s="6"/>
    </row>
    <row r="21" spans="1:19" x14ac:dyDescent="0.2">
      <c r="A21" s="2" t="s">
        <v>23</v>
      </c>
      <c r="B21" s="90">
        <v>1560.68</v>
      </c>
      <c r="C21" s="91"/>
      <c r="D21" s="15"/>
      <c r="E21" s="15"/>
      <c r="F21" s="15"/>
      <c r="G21" s="15"/>
      <c r="H21" s="15"/>
      <c r="I21" s="15"/>
      <c r="J21" s="7"/>
      <c r="K21" s="7"/>
    </row>
    <row r="22" spans="1:19" x14ac:dyDescent="0.2">
      <c r="A22" s="2" t="s">
        <v>24</v>
      </c>
      <c r="B22" s="90">
        <v>3223.65</v>
      </c>
      <c r="C22" s="91"/>
      <c r="D22" s="15"/>
      <c r="E22" s="15"/>
      <c r="F22" s="15"/>
      <c r="G22" s="15"/>
      <c r="H22" s="15"/>
      <c r="I22" s="15"/>
      <c r="J22" s="7"/>
      <c r="K22" s="7"/>
    </row>
    <row r="23" spans="1:19" x14ac:dyDescent="0.2">
      <c r="A23" s="2" t="s">
        <v>25</v>
      </c>
      <c r="B23" s="90">
        <v>2375.5630376749691</v>
      </c>
      <c r="C23" s="91"/>
      <c r="D23" s="15"/>
      <c r="E23" s="15"/>
      <c r="F23" s="15"/>
      <c r="G23" s="15"/>
      <c r="H23" s="15"/>
      <c r="I23" s="15"/>
      <c r="J23" s="7"/>
      <c r="K23" s="7"/>
    </row>
    <row r="24" spans="1:19" x14ac:dyDescent="0.2">
      <c r="A24" s="2" t="s">
        <v>26</v>
      </c>
      <c r="B24" s="90">
        <v>3405.11</v>
      </c>
      <c r="C24" s="91"/>
      <c r="D24" s="15"/>
      <c r="E24" s="15"/>
      <c r="F24" s="15"/>
      <c r="G24" s="15"/>
      <c r="H24" s="15"/>
      <c r="I24" s="15"/>
      <c r="J24" s="7"/>
      <c r="K24" s="7"/>
    </row>
    <row r="25" spans="1:19" x14ac:dyDescent="0.2">
      <c r="A25" s="2" t="s">
        <v>27</v>
      </c>
      <c r="B25" s="90">
        <v>2258.7901361004901</v>
      </c>
      <c r="C25" s="91"/>
      <c r="D25" s="15"/>
      <c r="E25" s="15"/>
      <c r="F25" s="15"/>
      <c r="G25" s="15"/>
      <c r="H25" s="15"/>
      <c r="I25" s="15"/>
      <c r="J25" s="9"/>
      <c r="K25" s="7"/>
    </row>
    <row r="26" spans="1:19" x14ac:dyDescent="0.2">
      <c r="A26" s="2" t="s">
        <v>28</v>
      </c>
      <c r="B26" s="23">
        <v>3034.2750366648497</v>
      </c>
      <c r="C26" s="91"/>
      <c r="D26" s="15"/>
      <c r="E26" s="15"/>
      <c r="F26" s="15"/>
      <c r="G26" s="15"/>
      <c r="H26" s="15"/>
      <c r="I26" s="15"/>
      <c r="J26" s="7"/>
      <c r="K26" s="7"/>
    </row>
    <row r="27" spans="1:19" x14ac:dyDescent="0.2">
      <c r="A27" s="2" t="s">
        <v>29</v>
      </c>
      <c r="B27" s="15"/>
      <c r="C27" s="91"/>
      <c r="D27" s="15"/>
      <c r="E27" s="15"/>
      <c r="F27" s="15"/>
      <c r="G27" s="15"/>
      <c r="H27" s="15"/>
      <c r="I27" s="15"/>
      <c r="J27" s="7"/>
      <c r="K27" s="7"/>
    </row>
    <row r="28" spans="1:19" x14ac:dyDescent="0.2">
      <c r="A28" s="2" t="s">
        <v>30</v>
      </c>
      <c r="B28" s="15"/>
      <c r="C28" s="91"/>
      <c r="D28" s="15"/>
      <c r="E28" s="15"/>
      <c r="F28" s="15"/>
      <c r="G28" s="15"/>
      <c r="H28" s="15"/>
      <c r="I28" s="15"/>
      <c r="J28" s="7"/>
      <c r="K28" s="7"/>
      <c r="M28" s="7"/>
      <c r="N28" s="7"/>
      <c r="O28" s="7"/>
      <c r="P28" s="7"/>
      <c r="Q28" s="7"/>
      <c r="R28" s="7"/>
      <c r="S28" s="7"/>
    </row>
    <row r="29" spans="1:19" x14ac:dyDescent="0.2">
      <c r="A29" s="2" t="s">
        <v>31</v>
      </c>
      <c r="B29" s="15"/>
      <c r="C29" s="91"/>
      <c r="D29" s="15"/>
      <c r="E29" s="15"/>
      <c r="F29" s="15"/>
      <c r="G29" s="15"/>
      <c r="H29" s="15"/>
      <c r="I29" s="15"/>
      <c r="J29" s="7"/>
      <c r="K29" s="7"/>
      <c r="M29" s="178"/>
      <c r="N29" s="178"/>
      <c r="O29" s="7"/>
      <c r="P29" s="7"/>
      <c r="Q29" s="7"/>
      <c r="R29" s="7"/>
      <c r="S29" s="7"/>
    </row>
    <row r="30" spans="1:19" x14ac:dyDescent="0.2">
      <c r="A30" s="2" t="s">
        <v>32</v>
      </c>
      <c r="B30" s="15"/>
      <c r="C30" s="91"/>
      <c r="D30" s="15"/>
      <c r="E30" s="7"/>
      <c r="F30" s="7"/>
      <c r="G30" s="7"/>
      <c r="H30" s="7"/>
      <c r="I30" s="7"/>
      <c r="J30" s="7"/>
      <c r="K30" s="7"/>
      <c r="M30" s="7"/>
      <c r="N30" s="7"/>
      <c r="O30" s="7"/>
      <c r="P30" s="7"/>
      <c r="Q30" s="7"/>
      <c r="R30" s="7"/>
      <c r="S30" s="7"/>
    </row>
    <row r="31" spans="1:19" x14ac:dyDescent="0.2">
      <c r="A31" s="2" t="s">
        <v>15</v>
      </c>
      <c r="B31" s="15"/>
      <c r="C31" s="91"/>
      <c r="D31" s="15"/>
      <c r="E31" s="7"/>
      <c r="F31" s="7"/>
      <c r="G31" s="7"/>
      <c r="H31" s="7"/>
      <c r="I31" s="7"/>
      <c r="J31" s="7"/>
      <c r="K31" s="7"/>
      <c r="M31" s="7"/>
      <c r="N31" s="7"/>
      <c r="O31" s="7"/>
      <c r="P31" s="7"/>
      <c r="Q31" s="7"/>
      <c r="R31" s="7"/>
      <c r="S31" s="7"/>
    </row>
    <row r="32" spans="1:19" x14ac:dyDescent="0.2">
      <c r="A32" s="2" t="s">
        <v>16</v>
      </c>
      <c r="B32" s="15"/>
      <c r="C32" s="2"/>
      <c r="D32" s="7"/>
      <c r="E32" s="7"/>
      <c r="F32" s="7"/>
      <c r="G32" s="7"/>
      <c r="H32" s="7"/>
      <c r="I32" s="7"/>
      <c r="J32" s="7"/>
      <c r="K32" s="7"/>
      <c r="M32" s="7"/>
      <c r="N32" s="7"/>
      <c r="O32" s="7"/>
      <c r="P32" s="7"/>
      <c r="Q32" s="7"/>
      <c r="R32" s="7"/>
      <c r="S32" s="7"/>
    </row>
    <row r="33" spans="1:19" x14ac:dyDescent="0.2">
      <c r="A33" s="19" t="s">
        <v>17</v>
      </c>
      <c r="B33" s="18"/>
      <c r="C33" s="10"/>
      <c r="D33" s="7"/>
      <c r="E33" s="7"/>
      <c r="F33" s="7"/>
      <c r="G33" s="7"/>
      <c r="H33" s="7"/>
      <c r="I33" s="7"/>
      <c r="J33" s="7"/>
      <c r="K33" s="7"/>
      <c r="M33" s="7"/>
      <c r="N33" s="7"/>
      <c r="O33" s="7"/>
      <c r="P33" s="7"/>
      <c r="Q33" s="7"/>
      <c r="R33" s="7"/>
      <c r="S33" s="7"/>
    </row>
    <row r="34" spans="1:19" x14ac:dyDescent="0.2">
      <c r="A34" s="2"/>
      <c r="B34" s="15">
        <f>SUM(B21:B33)</f>
        <v>15858.068210440309</v>
      </c>
      <c r="C34" s="2"/>
      <c r="D34" s="7"/>
      <c r="E34" s="7"/>
      <c r="F34" s="7"/>
      <c r="G34" s="7"/>
      <c r="H34" s="7"/>
      <c r="I34" s="7"/>
      <c r="J34" s="7"/>
      <c r="K34" s="7"/>
      <c r="M34" s="178"/>
      <c r="N34" s="178"/>
      <c r="O34" s="7"/>
      <c r="P34" s="7"/>
      <c r="Q34" s="7"/>
      <c r="R34" s="7"/>
      <c r="S34" s="7"/>
    </row>
    <row r="35" spans="1:19" x14ac:dyDescent="0.2">
      <c r="A35" s="10"/>
      <c r="L35" s="7"/>
      <c r="M35" s="7"/>
      <c r="N35" s="7"/>
      <c r="O35" s="7"/>
      <c r="P35" s="7"/>
      <c r="Q35" s="7"/>
      <c r="R35" s="7"/>
    </row>
    <row r="36" spans="1:19" x14ac:dyDescent="0.2">
      <c r="A36" s="145" t="s">
        <v>89</v>
      </c>
      <c r="L36" s="7"/>
      <c r="M36" s="7"/>
      <c r="N36" s="7"/>
      <c r="O36" s="7"/>
      <c r="P36" s="7"/>
      <c r="Q36" s="7"/>
      <c r="R36" s="7"/>
    </row>
    <row r="37" spans="1:19" x14ac:dyDescent="0.2">
      <c r="A37" s="2" t="s">
        <v>23</v>
      </c>
      <c r="B37" s="15">
        <v>43.77</v>
      </c>
      <c r="C37" s="91"/>
      <c r="D37" s="15"/>
      <c r="E37" s="15"/>
      <c r="F37" s="15"/>
      <c r="G37" s="15"/>
      <c r="H37" s="15"/>
      <c r="I37" s="15"/>
      <c r="J37" s="7"/>
      <c r="K37" s="7"/>
    </row>
    <row r="38" spans="1:19" x14ac:dyDescent="0.2">
      <c r="A38" s="2" t="s">
        <v>24</v>
      </c>
      <c r="B38" s="90">
        <v>89.65</v>
      </c>
      <c r="C38" s="91"/>
      <c r="D38" s="15"/>
      <c r="E38" s="15"/>
      <c r="F38" s="15"/>
      <c r="G38" s="15"/>
      <c r="H38" s="15"/>
      <c r="I38" s="15"/>
      <c r="J38" s="7"/>
      <c r="K38" s="7"/>
    </row>
    <row r="39" spans="1:19" x14ac:dyDescent="0.2">
      <c r="A39" s="2" t="s">
        <v>25</v>
      </c>
      <c r="B39" s="90">
        <v>27.03</v>
      </c>
      <c r="C39" s="91"/>
      <c r="D39" s="15"/>
      <c r="E39" s="15"/>
      <c r="F39" s="15"/>
      <c r="G39" s="15"/>
      <c r="H39" s="15"/>
      <c r="I39" s="15"/>
      <c r="J39" s="7"/>
      <c r="K39" s="7"/>
    </row>
    <row r="40" spans="1:19" x14ac:dyDescent="0.2">
      <c r="A40" s="2" t="s">
        <v>26</v>
      </c>
      <c r="B40" s="90">
        <v>99.33</v>
      </c>
      <c r="C40" s="91"/>
      <c r="D40" s="15"/>
      <c r="E40" s="15"/>
      <c r="F40" s="15"/>
      <c r="G40" s="15"/>
      <c r="H40" s="15"/>
      <c r="I40" s="15"/>
      <c r="J40" s="7"/>
      <c r="K40" s="7"/>
    </row>
    <row r="41" spans="1:19" x14ac:dyDescent="0.2">
      <c r="A41" s="2" t="s">
        <v>27</v>
      </c>
      <c r="B41" s="90">
        <v>73.216261302823455</v>
      </c>
      <c r="C41" s="91"/>
      <c r="D41" s="15"/>
      <c r="E41" s="15"/>
      <c r="F41" s="15"/>
      <c r="G41" s="15"/>
      <c r="H41" s="15"/>
      <c r="I41" s="15"/>
      <c r="J41" s="9"/>
      <c r="K41" s="7"/>
    </row>
    <row r="42" spans="1:19" x14ac:dyDescent="0.2">
      <c r="A42" s="2" t="s">
        <v>28</v>
      </c>
      <c r="B42" s="164">
        <v>67.273508027311436</v>
      </c>
      <c r="C42" s="91"/>
      <c r="D42" s="15"/>
      <c r="E42" s="15"/>
      <c r="F42" s="15"/>
      <c r="G42" s="15"/>
      <c r="H42" s="15"/>
      <c r="I42" s="15"/>
      <c r="J42" s="7"/>
      <c r="K42" s="7"/>
    </row>
    <row r="43" spans="1:19" x14ac:dyDescent="0.2">
      <c r="A43" s="2" t="s">
        <v>29</v>
      </c>
      <c r="B43" s="15"/>
      <c r="C43" s="91"/>
      <c r="D43" s="15"/>
      <c r="E43" s="15"/>
      <c r="F43" s="15"/>
      <c r="G43" s="15"/>
      <c r="H43" s="15"/>
      <c r="I43" s="15"/>
      <c r="J43" s="7"/>
      <c r="K43" s="7"/>
    </row>
    <row r="44" spans="1:19" x14ac:dyDescent="0.2">
      <c r="A44" s="2" t="s">
        <v>30</v>
      </c>
      <c r="B44" s="15"/>
      <c r="C44" s="91"/>
      <c r="D44" s="15"/>
      <c r="E44" s="15"/>
      <c r="F44" s="15"/>
      <c r="G44" s="15"/>
      <c r="H44" s="15"/>
      <c r="I44" s="15"/>
      <c r="J44" s="7"/>
      <c r="K44" s="7"/>
      <c r="M44" s="7"/>
      <c r="N44" s="7"/>
      <c r="O44" s="7"/>
      <c r="P44" s="7"/>
      <c r="Q44" s="7"/>
      <c r="R44" s="7"/>
      <c r="S44" s="7"/>
    </row>
    <row r="45" spans="1:19" x14ac:dyDescent="0.2">
      <c r="A45" s="2" t="s">
        <v>31</v>
      </c>
      <c r="B45" s="90"/>
      <c r="L45" s="7"/>
      <c r="M45" s="7"/>
      <c r="N45" s="7"/>
      <c r="O45" s="7"/>
      <c r="P45" s="7"/>
      <c r="Q45" s="7"/>
      <c r="R45" s="7"/>
    </row>
    <row r="46" spans="1:19" x14ac:dyDescent="0.2">
      <c r="A46" s="10" t="s">
        <v>32</v>
      </c>
      <c r="B46" s="90"/>
    </row>
    <row r="47" spans="1:19" x14ac:dyDescent="0.2">
      <c r="A47" s="10" t="s">
        <v>15</v>
      </c>
      <c r="B47" s="90"/>
    </row>
    <row r="48" spans="1:19" x14ac:dyDescent="0.2">
      <c r="A48" s="10" t="s">
        <v>16</v>
      </c>
      <c r="B48" s="90"/>
    </row>
    <row r="49" spans="1:19" x14ac:dyDescent="0.2">
      <c r="A49" s="19" t="s">
        <v>17</v>
      </c>
      <c r="B49" s="124"/>
    </row>
    <row r="50" spans="1:19" x14ac:dyDescent="0.2">
      <c r="A50" s="10"/>
      <c r="B50" s="90">
        <f>SUM(B37:B49)</f>
        <v>400.26976933013492</v>
      </c>
    </row>
    <row r="52" spans="1:19" x14ac:dyDescent="0.2">
      <c r="A52" s="145" t="s">
        <v>93</v>
      </c>
      <c r="B52" s="18"/>
      <c r="C52" s="16"/>
      <c r="D52" s="15"/>
      <c r="E52" s="16"/>
      <c r="F52" s="16"/>
      <c r="G52" s="16"/>
      <c r="H52" s="15"/>
      <c r="I52" s="7"/>
      <c r="J52" s="6"/>
    </row>
    <row r="53" spans="1:19" x14ac:dyDescent="0.2">
      <c r="A53" s="2" t="s">
        <v>23</v>
      </c>
      <c r="B53" s="23">
        <f>B21+B37</f>
        <v>1604.45</v>
      </c>
      <c r="C53" s="91"/>
      <c r="D53" s="15"/>
      <c r="E53" s="15"/>
      <c r="F53" s="15"/>
      <c r="G53" s="15"/>
      <c r="H53" s="15"/>
      <c r="I53" s="15"/>
      <c r="J53" s="7"/>
      <c r="K53" s="7"/>
    </row>
    <row r="54" spans="1:19" x14ac:dyDescent="0.2">
      <c r="A54" s="2" t="s">
        <v>24</v>
      </c>
      <c r="B54" s="23">
        <f t="shared" ref="B54:B65" si="1">B22+B38</f>
        <v>3313.3</v>
      </c>
      <c r="C54" s="91"/>
      <c r="D54" s="15"/>
      <c r="E54" s="15"/>
      <c r="F54" s="15"/>
      <c r="G54" s="15"/>
      <c r="H54" s="15"/>
      <c r="I54" s="15"/>
      <c r="J54" s="7"/>
      <c r="K54" s="7"/>
    </row>
    <row r="55" spans="1:19" x14ac:dyDescent="0.2">
      <c r="A55" s="2" t="s">
        <v>25</v>
      </c>
      <c r="B55" s="23">
        <f t="shared" si="1"/>
        <v>2402.5930376749693</v>
      </c>
      <c r="C55" s="91"/>
      <c r="D55" s="15"/>
      <c r="E55" s="15"/>
      <c r="F55" s="15"/>
      <c r="G55" s="15"/>
      <c r="H55" s="15"/>
      <c r="I55" s="15"/>
      <c r="J55" s="7"/>
      <c r="K55" s="7"/>
    </row>
    <row r="56" spans="1:19" x14ac:dyDescent="0.2">
      <c r="A56" s="2" t="s">
        <v>26</v>
      </c>
      <c r="B56" s="23">
        <f t="shared" si="1"/>
        <v>3504.44</v>
      </c>
      <c r="C56" s="91"/>
      <c r="D56" s="15"/>
      <c r="E56" s="15"/>
      <c r="F56" s="15"/>
      <c r="G56" s="15"/>
      <c r="H56" s="15"/>
      <c r="I56" s="15"/>
      <c r="J56" s="7"/>
      <c r="K56" s="7"/>
    </row>
    <row r="57" spans="1:19" x14ac:dyDescent="0.2">
      <c r="A57" s="2" t="s">
        <v>27</v>
      </c>
      <c r="B57" s="23">
        <f t="shared" si="1"/>
        <v>2332.0063974033137</v>
      </c>
      <c r="C57" s="91"/>
      <c r="D57" s="15"/>
      <c r="E57" s="15"/>
      <c r="F57" s="15"/>
      <c r="G57" s="15"/>
      <c r="H57" s="15"/>
      <c r="I57" s="15"/>
      <c r="J57" s="9"/>
      <c r="K57" s="7"/>
    </row>
    <row r="58" spans="1:19" x14ac:dyDescent="0.2">
      <c r="A58" s="2" t="s">
        <v>28</v>
      </c>
      <c r="B58" s="23">
        <f t="shared" si="1"/>
        <v>3101.5485446921612</v>
      </c>
      <c r="C58" s="91"/>
      <c r="D58" s="15"/>
      <c r="E58" s="15"/>
      <c r="F58" s="15"/>
      <c r="G58" s="15"/>
      <c r="H58" s="15"/>
      <c r="I58" s="15"/>
      <c r="J58" s="7"/>
      <c r="K58" s="7"/>
    </row>
    <row r="59" spans="1:19" x14ac:dyDescent="0.2">
      <c r="A59" s="2" t="s">
        <v>29</v>
      </c>
      <c r="B59" s="23">
        <f t="shared" si="1"/>
        <v>0</v>
      </c>
      <c r="C59" s="91"/>
      <c r="D59" s="15"/>
      <c r="E59" s="15"/>
      <c r="F59" s="15"/>
      <c r="G59" s="15"/>
      <c r="H59" s="15"/>
      <c r="I59" s="15"/>
      <c r="J59" s="7"/>
      <c r="K59" s="7"/>
    </row>
    <row r="60" spans="1:19" x14ac:dyDescent="0.2">
      <c r="A60" s="2" t="s">
        <v>30</v>
      </c>
      <c r="B60" s="23">
        <f t="shared" si="1"/>
        <v>0</v>
      </c>
      <c r="C60" s="91"/>
      <c r="D60" s="15"/>
      <c r="E60" s="15"/>
      <c r="F60" s="15"/>
      <c r="G60" s="15"/>
      <c r="H60" s="15"/>
      <c r="I60" s="15"/>
      <c r="J60" s="7"/>
      <c r="K60" s="7"/>
      <c r="M60" s="7"/>
      <c r="N60" s="7"/>
      <c r="O60" s="7"/>
      <c r="P60" s="7"/>
      <c r="Q60" s="7"/>
      <c r="R60" s="7"/>
      <c r="S60" s="7"/>
    </row>
    <row r="61" spans="1:19" x14ac:dyDescent="0.2">
      <c r="A61" s="2" t="s">
        <v>31</v>
      </c>
      <c r="B61" s="23">
        <f t="shared" si="1"/>
        <v>0</v>
      </c>
      <c r="C61" s="91"/>
      <c r="D61" s="15"/>
      <c r="E61" s="15"/>
      <c r="F61" s="15"/>
      <c r="G61" s="15"/>
      <c r="H61" s="15"/>
      <c r="I61" s="15"/>
      <c r="J61" s="7"/>
      <c r="K61" s="7"/>
      <c r="M61" s="178"/>
      <c r="N61" s="178"/>
      <c r="O61" s="7"/>
      <c r="P61" s="7"/>
      <c r="Q61" s="7"/>
      <c r="R61" s="7"/>
      <c r="S61" s="7"/>
    </row>
    <row r="62" spans="1:19" x14ac:dyDescent="0.2">
      <c r="A62" s="2" t="s">
        <v>32</v>
      </c>
      <c r="B62" s="23">
        <f t="shared" si="1"/>
        <v>0</v>
      </c>
      <c r="C62" s="91"/>
      <c r="D62" s="15"/>
      <c r="E62" s="7"/>
      <c r="F62" s="7"/>
      <c r="G62" s="7"/>
      <c r="H62" s="7"/>
      <c r="I62" s="7"/>
      <c r="J62" s="7"/>
      <c r="K62" s="7"/>
      <c r="M62" s="7"/>
      <c r="N62" s="7"/>
      <c r="O62" s="7"/>
      <c r="P62" s="7"/>
      <c r="Q62" s="7"/>
      <c r="R62" s="7"/>
      <c r="S62" s="7"/>
    </row>
    <row r="63" spans="1:19" x14ac:dyDescent="0.2">
      <c r="A63" s="2" t="s">
        <v>15</v>
      </c>
      <c r="B63" s="23">
        <f t="shared" si="1"/>
        <v>0</v>
      </c>
      <c r="C63" s="91"/>
      <c r="D63" s="15"/>
      <c r="E63" s="7"/>
      <c r="F63" s="7"/>
      <c r="G63" s="7"/>
      <c r="H63" s="7"/>
      <c r="I63" s="7"/>
      <c r="J63" s="7"/>
      <c r="K63" s="7"/>
      <c r="M63" s="7"/>
      <c r="N63" s="7"/>
      <c r="O63" s="7"/>
      <c r="P63" s="7"/>
      <c r="Q63" s="7"/>
      <c r="R63" s="7"/>
      <c r="S63" s="7"/>
    </row>
    <row r="64" spans="1:19" x14ac:dyDescent="0.2">
      <c r="A64" s="2" t="s">
        <v>16</v>
      </c>
      <c r="B64" s="23">
        <f t="shared" si="1"/>
        <v>0</v>
      </c>
      <c r="C64" s="2"/>
      <c r="D64" s="7"/>
      <c r="E64" s="7"/>
      <c r="F64" s="7"/>
      <c r="G64" s="7"/>
      <c r="H64" s="7"/>
      <c r="I64" s="7"/>
      <c r="J64" s="7"/>
      <c r="K64" s="7"/>
      <c r="M64" s="7"/>
      <c r="N64" s="7"/>
      <c r="O64" s="7"/>
      <c r="P64" s="7"/>
      <c r="Q64" s="7"/>
      <c r="R64" s="7"/>
      <c r="S64" s="7"/>
    </row>
    <row r="65" spans="1:19" x14ac:dyDescent="0.2">
      <c r="A65" s="19" t="s">
        <v>17</v>
      </c>
      <c r="B65" s="23">
        <f t="shared" si="1"/>
        <v>0</v>
      </c>
      <c r="C65" s="10"/>
      <c r="D65" s="7"/>
      <c r="E65" s="7"/>
      <c r="F65" s="7"/>
      <c r="G65" s="7"/>
      <c r="H65" s="7"/>
      <c r="I65" s="7"/>
      <c r="J65" s="7"/>
      <c r="K65" s="7"/>
      <c r="M65" s="7"/>
      <c r="N65" s="7"/>
      <c r="O65" s="7"/>
      <c r="P65" s="7"/>
      <c r="Q65" s="7"/>
      <c r="R65" s="7"/>
      <c r="S65" s="7"/>
    </row>
    <row r="66" spans="1:19" x14ac:dyDescent="0.2">
      <c r="A66" s="2"/>
      <c r="B66" s="15">
        <f>SUM(B53:B65)</f>
        <v>16258.337979770446</v>
      </c>
      <c r="C66" s="2"/>
      <c r="D66" s="7"/>
      <c r="E66" s="7"/>
      <c r="F66" s="7"/>
      <c r="G66" s="7"/>
      <c r="H66" s="7"/>
      <c r="I66" s="7"/>
      <c r="J66" s="7"/>
      <c r="K66" s="7"/>
      <c r="M66" s="178"/>
      <c r="N66" s="178"/>
      <c r="O66" s="7"/>
      <c r="P66" s="7"/>
      <c r="Q66" s="7"/>
      <c r="R66" s="7"/>
      <c r="S66" s="7"/>
    </row>
  </sheetData>
  <mergeCells count="4">
    <mergeCell ref="M29:N29"/>
    <mergeCell ref="M34:N34"/>
    <mergeCell ref="M61:N61"/>
    <mergeCell ref="M66:N66"/>
  </mergeCells>
  <pageMargins left="0.7" right="0.7" top="0.75" bottom="0.25" header="0.3" footer="0.3"/>
  <pageSetup scale="92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8B66-DEA3-4C5B-9EE6-F7E84C7225B8}">
  <sheetPr>
    <tabColor theme="1"/>
    <pageSetUpPr fitToPage="1"/>
  </sheetPr>
  <dimension ref="A1:AB41"/>
  <sheetViews>
    <sheetView zoomScaleNormal="100" workbookViewId="0">
      <selection activeCell="AA15" sqref="AA15:AA17"/>
    </sheetView>
  </sheetViews>
  <sheetFormatPr defaultColWidth="11" defaultRowHeight="18" customHeight="1" x14ac:dyDescent="0.25"/>
  <cols>
    <col min="1" max="1" width="11.5703125" style="27" customWidth="1"/>
    <col min="2" max="2" width="10.28515625" style="27" bestFit="1" customWidth="1"/>
    <col min="3" max="22" width="11.28515625" style="27" bestFit="1" customWidth="1"/>
    <col min="23" max="24" width="11.5703125" style="27" customWidth="1"/>
    <col min="25" max="25" width="11.28515625" style="27" bestFit="1" customWidth="1"/>
    <col min="26" max="26" width="14.140625" style="27" bestFit="1" customWidth="1"/>
    <col min="27" max="27" width="11.140625" style="27" customWidth="1"/>
    <col min="28" max="28" width="14.28515625" style="27" customWidth="1"/>
    <col min="29" max="16384" width="11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97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5.75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50" t="s">
        <v>86</v>
      </c>
      <c r="AB6" s="88" t="s">
        <v>84</v>
      </c>
    </row>
    <row r="7" spans="1:28" ht="18" customHeight="1" x14ac:dyDescent="0.25">
      <c r="A7" s="35" t="s">
        <v>5</v>
      </c>
      <c r="B7" s="36">
        <f>'P1'!B7+'P2'!B7+'P3'!B7+'P4'!B7+'P5'!B7+'P6'!B7+'P7'!B7+'P8'!B7+'P9'!B7+'P10'!B7+'P11'!B7+'P12'!B7+'P13'!B7</f>
        <v>3775.9700000000003</v>
      </c>
      <c r="C7" s="36">
        <f>'P1'!C7+'P2'!C7+'P3'!C7+'P4'!C7+'P5'!C7+'P6'!C7+'P7'!C7+'P8'!C7+'P9'!C7+'P10'!C7+'P11'!C7+'P12'!C7+'P13'!C7</f>
        <v>699219.2</v>
      </c>
      <c r="D7" s="36">
        <f>'P1'!D7+'P2'!D7+'P3'!D7+'P4'!D7+'P5'!D7+'P6'!D7+'P7'!D7+'P8'!D7+'P9'!D7+'P10'!D7+'P11'!D7+'P12'!D7+'P13'!D7</f>
        <v>526021.19999999995</v>
      </c>
      <c r="E7" s="36">
        <f>'P1'!E7+'P2'!E7+'P3'!E7+'P4'!E7+'P5'!E7+'P6'!E7+'P7'!E7+'P8'!E7+'P9'!E7+'P10'!E7+'P11'!E7+'P12'!E7+'P13'!E7</f>
        <v>548534.34</v>
      </c>
      <c r="F7" s="36">
        <f>'P1'!F7+'P2'!F7+'P3'!F7+'P4'!F7+'P5'!F7+'P6'!F7+'P7'!F7+'P8'!F7+'P9'!F7+'P10'!F7+'P11'!F7+'P12'!F7+'P13'!F7</f>
        <v>440142.14</v>
      </c>
      <c r="G7" s="36">
        <f>'P1'!G7+'P2'!G7+'P3'!G7+'P4'!G7+'P5'!G7+'P6'!G7+'P7'!G7+'P8'!G7+'P9'!G7+'P10'!G7+'P11'!G7+'P12'!G7+'P13'!G7</f>
        <v>224835.59000000003</v>
      </c>
      <c r="H7" s="36">
        <f>'P1'!H7+'P2'!H7+'P3'!H7+'P4'!H7+'P5'!H7+'P6'!H7+'P7'!H7+'P8'!H7+'P9'!H7+'P10'!H7+'P11'!H7+'P12'!H7+'P13'!H7</f>
        <v>411359.76</v>
      </c>
      <c r="I7" s="36">
        <f>'P1'!I7+'P2'!I7+'P3'!I7+'P4'!I7+'P5'!I7+'P6'!I7+'P7'!I7+'P8'!I7+'P9'!I7+'P10'!I7+'P11'!I7+'P12'!I7+'P13'!I7</f>
        <v>274125.57</v>
      </c>
      <c r="J7" s="36">
        <f>'P1'!J7+'P2'!J7+'P3'!J7+'P4'!J7+'P5'!J7+'P6'!J7+'P7'!J7+'P8'!J7+'P9'!J7+'P10'!J7+'P11'!J7+'P12'!J7+'P13'!J7</f>
        <v>461336.69</v>
      </c>
      <c r="K7" s="36">
        <f>'P1'!K7+'P2'!K7+'P3'!K7+'P4'!K7+'P5'!K7+'P6'!K7+'P7'!K7+'P8'!K7+'P9'!K7+'P10'!K7+'P11'!K7+'P12'!K7+'P13'!K7</f>
        <v>227918.69999999998</v>
      </c>
      <c r="L7" s="36">
        <f>'P1'!L7+'P2'!L7+'P3'!L7+'P4'!L7+'P5'!L7+'P6'!L7+'P7'!L7+'P8'!L7+'P9'!L7+'P10'!L7+'P11'!L7+'P12'!L7+'P13'!L7</f>
        <v>269675.40000000002</v>
      </c>
      <c r="M7" s="36">
        <f>'P1'!M7+'P2'!M7+'P3'!M7+'P4'!M7+'P5'!M7+'P6'!M7+'P7'!M7+'P8'!M7+'P9'!M7+'P10'!M7+'P11'!M7+'P12'!M7+'P13'!M7</f>
        <v>448700.13999999996</v>
      </c>
      <c r="N7" s="36">
        <f>'P1'!N7+'P2'!N7+'P3'!N7+'P4'!N7+'P5'!N7+'P6'!N7+'P7'!N7+'P8'!N7+'P9'!N7+'P10'!N7+'P11'!N7+'P12'!N7+'P13'!N7</f>
        <v>735937.59</v>
      </c>
      <c r="O7" s="36">
        <f>'P1'!O7+'P2'!O7+'P3'!O7+'P4'!O7+'P5'!O7+'P6'!O7+'P7'!O7+'P8'!O7+'P9'!O7+'P10'!O7+'P11'!O7+'P12'!O7+'P13'!O7</f>
        <v>424204.61</v>
      </c>
      <c r="P7" s="36">
        <f>'P1'!P7+'P2'!P7+'P3'!P7+'P4'!P7+'P5'!P7+'P6'!P7+'P7'!P7+'P8'!P7+'P9'!P7+'P10'!P7+'P11'!P7+'P12'!P7+'P13'!P7</f>
        <v>558534.40999999992</v>
      </c>
      <c r="Q7" s="36">
        <f>'P1'!Q7+'P2'!Q7+'P3'!Q7+'P4'!Q7+'P5'!Q7+'P6'!Q7+'P7'!Q7+'P8'!Q7+'P9'!Q7+'P10'!Q7+'P11'!Q7+'P12'!Q7+'P13'!Q7</f>
        <v>328869.82999999996</v>
      </c>
      <c r="R7" s="36">
        <f>'P1'!R7+'P2'!R7+'P3'!R7+'P4'!R7+'P5'!R7+'P6'!R7+'P7'!R7+'P8'!R7+'P9'!R7+'P10'!R7+'P11'!R7+'P12'!R7+'P13'!R7</f>
        <v>511735.2</v>
      </c>
      <c r="S7" s="36">
        <f>'P1'!S7+'P2'!S7+'P3'!S7+'P4'!S7+'P5'!S7+'P6'!S7+'P7'!S7+'P8'!S7+'P9'!S7+'P10'!S7+'P11'!S7+'P12'!S7+'P13'!S7</f>
        <v>498644.22000000009</v>
      </c>
      <c r="T7" s="36">
        <f>'P1'!T7+'P2'!T7+'P3'!T7+'P4'!T7+'P5'!T7+'P6'!T7+'P7'!T7+'P8'!T7+'P9'!T7+'P10'!T7+'P11'!T7+'P12'!T7+'P13'!T7</f>
        <v>367634.26</v>
      </c>
      <c r="U7" s="36">
        <f>'P1'!U7+'P2'!U7+'P3'!U7+'P4'!U7+'P5'!U7+'P6'!U7+'P7'!U7+'P8'!U7+'P9'!U7+'P10'!U7+'P11'!U7+'P12'!U7+'P13'!U7</f>
        <v>339363.68999999994</v>
      </c>
      <c r="V7" s="36">
        <f>'P1'!V7+'P2'!V7+'P3'!V7+'P4'!V7+'P5'!V7+'P6'!V7+'P7'!V7+'P8'!V7+'P9'!V7+'P10'!V7+'P11'!V7+'P12'!V7+'P13'!V7</f>
        <v>535389.22</v>
      </c>
      <c r="W7" s="36">
        <f>'P1'!W7+'P2'!W7+'P3'!W7+'P4'!W7+'P5'!W7+'P6'!W7+'P7'!W7+'P8'!W7+'P9'!W7+'P10'!W7+'P11'!W7+'P12'!W7+'P13'!W7</f>
        <v>451532.52</v>
      </c>
      <c r="X7" s="36">
        <f>'P1'!X7+'P2'!X7+'P3'!X7+'P4'!X7+'P5'!X7+'P6'!X7+'P7'!X7+'P8'!X7+'P9'!X7+'P10'!X7+'P11'!X7+'P12'!X7+'P13'!X7</f>
        <v>355938.4</v>
      </c>
      <c r="Y7" s="36">
        <f>'P1'!Y7+'P2'!Y7+'P3'!Y7+'P4'!Y7+'P5'!Y7+'P6'!Y7+'P7'!Y7+'P8'!Y7+'P9'!Y7+'P10'!Y7+'P11'!Y7+'P12'!Y7+'P13'!Y7</f>
        <v>262855.19</v>
      </c>
      <c r="Z7" s="101">
        <f>SUM(B7:Y7)</f>
        <v>9906283.8399999999</v>
      </c>
      <c r="AA7" s="36">
        <f>'P1'!AA7+'P2'!AA7+'P3'!AA7+'P4'!AA7+'P5'!AA7+'P6'!AA7+'P7'!AA7+'P8'!AA7+'P9'!AA7+'P10'!AA7+'P11'!AA7+'P12'!AA7+'P13'!AA7</f>
        <v>253215</v>
      </c>
      <c r="AB7" s="37">
        <f>Z7+AA7</f>
        <v>10159498.84</v>
      </c>
    </row>
    <row r="8" spans="1:28" ht="17.25" customHeight="1" x14ac:dyDescent="0.25">
      <c r="A8" s="35" t="s">
        <v>6</v>
      </c>
      <c r="B8" s="36">
        <f>'P1'!B8+'P2'!B8+'P3'!B8+'P4'!B8+'P5'!B8+'P6'!B8+'P7'!B8+'P8'!B8+'P9'!B8+'P10'!B8+'P11'!B8+'P12'!B8+'P13'!B8</f>
        <v>41.35</v>
      </c>
      <c r="C8" s="36">
        <f>'P1'!C8+'P2'!C8+'P3'!C8+'P4'!C8+'P5'!C8+'P6'!C8+'P7'!C8+'P8'!C8+'P9'!C8+'P10'!C8+'P11'!C8+'P12'!C8+'P13'!C8</f>
        <v>5301.5</v>
      </c>
      <c r="D8" s="36">
        <f>'P1'!D8+'P2'!D8+'P3'!D8+'P4'!D8+'P5'!D8+'P6'!D8+'P7'!D8+'P8'!D8+'P9'!D8+'P10'!D8+'P11'!D8+'P12'!D8+'P13'!D8</f>
        <v>3597.4500000000003</v>
      </c>
      <c r="E8" s="36">
        <f>'P1'!E8+'P2'!E8+'P3'!E8+'P4'!E8+'P5'!E8+'P6'!E8+'P7'!E8+'P8'!E8+'P9'!E8+'P10'!E8+'P11'!E8+'P12'!E8+'P13'!E8</f>
        <v>3473.3999999999996</v>
      </c>
      <c r="F8" s="36">
        <f>'P1'!F8+'P2'!F8+'P3'!F8+'P4'!F8+'P5'!F8+'P6'!F8+'P7'!F8+'P8'!F8+'P9'!F8+'P10'!F8+'P11'!F8+'P12'!F8+'P13'!F8</f>
        <v>2894.4999999999995</v>
      </c>
      <c r="G8" s="36">
        <f>'P1'!G8+'P2'!G8+'P3'!G8+'P4'!G8+'P5'!G8+'P6'!G8+'P7'!G8+'P8'!G8+'P9'!G8+'P10'!G8+'P11'!G8+'P12'!G8+'P13'!G8</f>
        <v>1075.1000000000001</v>
      </c>
      <c r="H8" s="36">
        <f>'P1'!H8+'P2'!H8+'P3'!H8+'P4'!H8+'P5'!H8+'P6'!H8+'P7'!H8+'P8'!H8+'P9'!H8+'P10'!H8+'P11'!H8+'P12'!H8+'P13'!H8</f>
        <v>3027.73</v>
      </c>
      <c r="I8" s="36">
        <f>'P1'!I8+'P2'!I8+'P3'!I8+'P4'!I8+'P5'!I8+'P6'!I8+'P7'!I8+'P8'!I8+'P9'!I8+'P10'!I8+'P11'!I8+'P12'!I8+'P13'!I8</f>
        <v>1943.4499999999998</v>
      </c>
      <c r="J8" s="36">
        <f>'P1'!J8+'P2'!J8+'P3'!J8+'P4'!J8+'P5'!J8+'P6'!J8+'P7'!J8+'P8'!J8+'P9'!J8+'P10'!J8+'P11'!J8+'P12'!J8+'P13'!J8</f>
        <v>3638.7999999999997</v>
      </c>
      <c r="K8" s="36">
        <f>'P1'!K8+'P2'!K8+'P3'!K8+'P4'!K8+'P5'!K8+'P6'!K8+'P7'!K8+'P8'!K8+'P9'!K8+'P10'!K8+'P11'!K8+'P12'!K8+'P13'!K8</f>
        <v>1778.05</v>
      </c>
      <c r="L8" s="36">
        <f>'P1'!L8+'P2'!L8+'P3'!L8+'P4'!L8+'P5'!L8+'P6'!L8+'P7'!L8+'P8'!L8+'P9'!L8+'P10'!L8+'P11'!L8+'P12'!L8+'P13'!L8</f>
        <v>1943.45</v>
      </c>
      <c r="M8" s="36">
        <f>'P1'!M8+'P2'!M8+'P3'!M8+'P4'!M8+'P5'!M8+'P6'!M8+'P7'!M8+'P8'!M8+'P9'!M8+'P10'!M8+'P11'!M8+'P12'!M8+'P13'!M8</f>
        <v>3191.6899999999996</v>
      </c>
      <c r="N8" s="36">
        <f>'P1'!N8+'P2'!N8+'P3'!N8+'P4'!N8+'P5'!N8+'P6'!N8+'P7'!N8+'P8'!N8+'P9'!N8+'P10'!N8+'P11'!N8+'P12'!N8+'P13'!N8</f>
        <v>4962</v>
      </c>
      <c r="O8" s="36">
        <f>'P1'!O8+'P2'!O8+'P3'!O8+'P4'!O8+'P5'!O8+'P6'!O8+'P7'!O8+'P8'!O8+'P9'!O8+'P10'!O8+'P11'!O8+'P12'!O8+'P13'!O8</f>
        <v>2811.8</v>
      </c>
      <c r="P8" s="36">
        <f>'P1'!P8+'P2'!P8+'P3'!P8+'P4'!P8+'P5'!P8+'P6'!P8+'P7'!P8+'P8'!P8+'P9'!P8+'P10'!P8+'P11'!P8+'P12'!P8+'P13'!P8</f>
        <v>4193.2699999999995</v>
      </c>
      <c r="Q8" s="36">
        <f>'P1'!Q8+'P2'!Q8+'P3'!Q8+'P4'!Q8+'P5'!Q8+'P6'!Q8+'P7'!Q8+'P8'!Q8+'P9'!Q8+'P10'!Q8+'P11'!Q8+'P12'!Q8+'P13'!Q8</f>
        <v>2108.85</v>
      </c>
      <c r="R8" s="36">
        <f>'P1'!R8+'P2'!R8+'P3'!R8+'P4'!R8+'P5'!R8+'P6'!R8+'P7'!R8+'P8'!R8+'P9'!R8+'P10'!R8+'P11'!R8+'P12'!R8+'P13'!R8</f>
        <v>4383.1000000000004</v>
      </c>
      <c r="S8" s="36">
        <f>'P1'!S8+'P2'!S8+'P3'!S8+'P4'!S8+'P5'!S8+'P6'!S8+'P7'!S8+'P8'!S8+'P9'!S8+'P10'!S8+'P11'!S8+'P12'!S8+'P13'!S8</f>
        <v>3441.2299999999996</v>
      </c>
      <c r="T8" s="36">
        <f>'P1'!T8+'P2'!T8+'P3'!T8+'P4'!T8+'P5'!T8+'P6'!T8+'P7'!T8+'P8'!T8+'P9'!T8+'P10'!T8+'P11'!T8+'P12'!T8+'P13'!T8</f>
        <v>2481</v>
      </c>
      <c r="U8" s="36">
        <f>'P1'!U8+'P2'!U8+'P3'!U8+'P4'!U8+'P5'!U8+'P6'!U8+'P7'!U8+'P8'!U8+'P9'!U8+'P10'!U8+'P11'!U8+'P12'!U8+'P13'!U8</f>
        <v>1787.23</v>
      </c>
      <c r="V8" s="36">
        <f>'P1'!V8+'P2'!V8+'P3'!V8+'P4'!V8+'P5'!V8+'P6'!V8+'P7'!V8+'P8'!V8+'P9'!V8+'P10'!V8+'P11'!V8+'P12'!V8+'P13'!V8</f>
        <v>4474.5</v>
      </c>
      <c r="W8" s="36">
        <f>'P1'!W8+'P2'!W8+'P3'!W8+'P4'!W8+'P5'!W8+'P6'!W8+'P7'!W8+'P8'!W8+'P9'!W8+'P10'!W8+'P11'!W8+'P12'!W8+'P13'!W8</f>
        <v>2894.5</v>
      </c>
      <c r="X8" s="36">
        <f>'P1'!X8+'P2'!X8+'P3'!X8+'P4'!X8+'P5'!X8+'P6'!X8+'P7'!X8+'P8'!X8+'P9'!X8+'P10'!X8+'P11'!X8+'P12'!X8+'P13'!X8</f>
        <v>2563.6999999999998</v>
      </c>
      <c r="Y8" s="36">
        <f>'P1'!Y8+'P2'!Y8+'P3'!Y8+'P4'!Y8+'P5'!Y8+'P6'!Y8+'P7'!Y8+'P8'!Y8+'P9'!Y8+'P10'!Y8+'P11'!Y8+'P12'!Y8+'P13'!Y8</f>
        <v>1447.25</v>
      </c>
      <c r="Z8" s="101">
        <f>SUM(B8:Y8)</f>
        <v>69454.900000000009</v>
      </c>
      <c r="AA8" s="36">
        <f>'P1'!AA8+'P2'!AA8+'P3'!AA8+'P4'!AA8+'P5'!AA8+'P6'!AA8+'P7'!AA8+'P8'!AA8+'P9'!AA8+'P10'!AA8+'P11'!AA8+'P12'!AA8+'P13'!AA8</f>
        <v>1199.1500000000001</v>
      </c>
      <c r="AB8" s="37">
        <f>Z8+AA8</f>
        <v>70654.05</v>
      </c>
    </row>
    <row r="9" spans="1:28" ht="18" customHeight="1" x14ac:dyDescent="0.25">
      <c r="A9" s="35" t="s">
        <v>8</v>
      </c>
      <c r="B9" s="36">
        <f>'P1'!B9+'P2'!B9+'P3'!B9+'P4'!B9+'P5'!B9+'P6'!B9+'P7'!B9+'P8'!B9+'P9'!B9+'P10'!B9+'P11'!B9+'P12'!B9+'P13'!B9</f>
        <v>0</v>
      </c>
      <c r="C9" s="36">
        <f>'P1'!C9+'P2'!C9+'P3'!C9+'P4'!C9+'P5'!C9+'P6'!C9+'P7'!C9+'P8'!C9+'P9'!C9+'P10'!C9+'P11'!C9+'P12'!C9+'P13'!C9</f>
        <v>0</v>
      </c>
      <c r="D9" s="36">
        <f>'P1'!D9+'P2'!D9+'P3'!D9+'P4'!D9+'P5'!D9+'P6'!D9+'P7'!D9+'P8'!D9+'P9'!D9+'P10'!D9+'P11'!D9+'P12'!D9+'P13'!D9</f>
        <v>0</v>
      </c>
      <c r="E9" s="36">
        <f>'P1'!E9+'P2'!E9+'P3'!E9+'P4'!E9+'P5'!E9+'P6'!E9+'P7'!E9+'P8'!E9+'P9'!E9+'P10'!E9+'P11'!E9+'P12'!E9+'P13'!E9</f>
        <v>0</v>
      </c>
      <c r="F9" s="36">
        <f>'P1'!F9+'P2'!F9+'P3'!F9+'P4'!F9+'P5'!F9+'P6'!F9+'P7'!F9+'P8'!F9+'P9'!F9+'P10'!F9+'P11'!F9+'P12'!F9+'P13'!F9</f>
        <v>0</v>
      </c>
      <c r="G9" s="36">
        <f>'P1'!G9+'P2'!G9+'P3'!G9+'P4'!G9+'P5'!G9+'P6'!G9+'P7'!G9+'P8'!G9+'P9'!G9+'P10'!G9+'P11'!G9+'P12'!G9+'P13'!G9</f>
        <v>25.33</v>
      </c>
      <c r="H9" s="36">
        <f>'P1'!H9+'P2'!H9+'P3'!H9+'P4'!H9+'P5'!H9+'P6'!H9+'P7'!H9+'P8'!H9+'P9'!H9+'P10'!H9+'P11'!H9+'P12'!H9+'P13'!H9</f>
        <v>28</v>
      </c>
      <c r="I9" s="36">
        <f>'P1'!I9+'P2'!I9+'P3'!I9+'P4'!I9+'P5'!I9+'P6'!I9+'P7'!I9+'P8'!I9+'P9'!I9+'P10'!I9+'P11'!I9+'P12'!I9+'P13'!I9</f>
        <v>0</v>
      </c>
      <c r="J9" s="36">
        <f>'P1'!J9+'P2'!J9+'P3'!J9+'P4'!J9+'P5'!J9+'P6'!J9+'P7'!J9+'P8'!J9+'P9'!J9+'P10'!J9+'P11'!J9+'P12'!J9+'P13'!J9</f>
        <v>46.8</v>
      </c>
      <c r="K9" s="36">
        <f>'P1'!K9+'P2'!K9+'P3'!K9+'P4'!K9+'P5'!K9+'P6'!K9+'P7'!K9+'P8'!K9+'P9'!K9+'P10'!K9+'P11'!K9+'P12'!K9+'P13'!K9</f>
        <v>22.36</v>
      </c>
      <c r="L9" s="36">
        <f>'P1'!L9+'P2'!L9+'P3'!L9+'P4'!L9+'P5'!L9+'P6'!L9+'P7'!L9+'P8'!L9+'P9'!L9+'P10'!L9+'P11'!L9+'P12'!L9+'P13'!L9</f>
        <v>0</v>
      </c>
      <c r="M9" s="36">
        <f>'P1'!M9+'P2'!M9+'P3'!M9+'P4'!M9+'P5'!M9+'P6'!M9+'P7'!M9+'P8'!M9+'P9'!M9+'P10'!M9+'P11'!M9+'P12'!M9+'P13'!M9</f>
        <v>0</v>
      </c>
      <c r="N9" s="36">
        <f>'P1'!N9+'P2'!N9+'P3'!N9+'P4'!N9+'P5'!N9+'P6'!N9+'P7'!N9+'P8'!N9+'P9'!N9+'P10'!N9+'P11'!N9+'P12'!N9+'P13'!N9</f>
        <v>0</v>
      </c>
      <c r="O9" s="36">
        <f>'P1'!O9+'P2'!O9+'P3'!O9+'P4'!O9+'P5'!O9+'P6'!O9+'P7'!O9+'P8'!O9+'P9'!O9+'P10'!O9+'P11'!O9+'P12'!O9+'P13'!O9</f>
        <v>0</v>
      </c>
      <c r="P9" s="36">
        <f>'P1'!P9+'P2'!P9+'P3'!P9+'P4'!P9+'P5'!P9+'P6'!P9+'P7'!P9+'P8'!P9+'P9'!P9+'P10'!P9+'P11'!P9+'P12'!P9+'P13'!P9</f>
        <v>75</v>
      </c>
      <c r="Q9" s="36">
        <f>'P1'!Q9+'P2'!Q9+'P3'!Q9+'P4'!Q9+'P5'!Q9+'P6'!Q9+'P7'!Q9+'P8'!Q9+'P9'!Q9+'P10'!Q9+'P11'!Q9+'P12'!Q9+'P13'!Q9</f>
        <v>0</v>
      </c>
      <c r="R9" s="36">
        <f>'P1'!R9+'P2'!R9+'P3'!R9+'P4'!R9+'P5'!R9+'P6'!R9+'P7'!R9+'P8'!R9+'P9'!R9+'P10'!R9+'P11'!R9+'P12'!R9+'P13'!R9</f>
        <v>0</v>
      </c>
      <c r="S9" s="36">
        <f>'P1'!S9+'P2'!S9+'P3'!S9+'P4'!S9+'P5'!S9+'P6'!S9+'P7'!S9+'P8'!S9+'P9'!S9+'P10'!S9+'P11'!S9+'P12'!S9+'P13'!S9</f>
        <v>389</v>
      </c>
      <c r="T9" s="36">
        <f>'P1'!T9+'P2'!T9+'P3'!T9+'P4'!T9+'P5'!T9+'P6'!T9+'P7'!T9+'P8'!T9+'P9'!T9+'P10'!T9+'P11'!T9+'P12'!T9+'P13'!T9</f>
        <v>0</v>
      </c>
      <c r="U9" s="36">
        <f>'P1'!U9+'P2'!U9+'P3'!U9+'P4'!U9+'P5'!U9+'P6'!U9+'P7'!U9+'P8'!U9+'P9'!U9+'P10'!U9+'P11'!U9+'P12'!U9+'P13'!U9</f>
        <v>0</v>
      </c>
      <c r="V9" s="36">
        <f>'P1'!V9+'P2'!V9+'P3'!V9+'P4'!V9+'P5'!V9+'P6'!V9+'P7'!V9+'P8'!V9+'P9'!V9+'P10'!V9+'P11'!V9+'P12'!V9+'P13'!V9</f>
        <v>0</v>
      </c>
      <c r="W9" s="36">
        <f>'P1'!W9+'P2'!W9+'P3'!W9+'P4'!W9+'P5'!W9+'P6'!W9+'P7'!W9+'P8'!W9+'P9'!W9+'P10'!W9+'P11'!W9+'P12'!W9+'P13'!W9</f>
        <v>0</v>
      </c>
      <c r="X9" s="36">
        <f>'P1'!X9+'P2'!X9+'P3'!X9+'P4'!X9+'P5'!X9+'P6'!X9+'P7'!X9+'P8'!X9+'P9'!X9+'P10'!X9+'P11'!X9+'P12'!X9+'P13'!X9</f>
        <v>0</v>
      </c>
      <c r="Y9" s="36">
        <f>'P1'!Y9+'P2'!Y9+'P3'!Y9+'P4'!Y9+'P5'!Y9+'P6'!Y9+'P7'!Y9+'P8'!Y9+'P9'!Y9+'P10'!Y9+'P11'!Y9+'P12'!Y9+'P13'!Y9</f>
        <v>35</v>
      </c>
      <c r="Z9" s="101">
        <f>SUM(B9:Y9)</f>
        <v>621.49</v>
      </c>
      <c r="AA9" s="36">
        <f>'P1'!AA9+'P2'!AA9+'P3'!AA9+'P4'!AA9+'P5'!AA9+'P6'!AA9+'P7'!AA9+'P8'!AA9+'P9'!AA9+'P10'!AA9+'P11'!AA9+'P12'!AA9+'P13'!AA9</f>
        <v>117.12</v>
      </c>
      <c r="AB9" s="37">
        <f>Z9+AA9</f>
        <v>738.61</v>
      </c>
    </row>
    <row r="10" spans="1:28" ht="18" customHeight="1" thickBot="1" x14ac:dyDescent="0.3">
      <c r="A10" s="35" t="s">
        <v>7</v>
      </c>
      <c r="B10" s="36">
        <f>'P1'!B10+'P2'!B10+'P3'!B10+'P4'!B10+'P5'!B10+'P6'!B10+'P7'!B10+'P8'!B10+'P9'!B10+'P10'!B10+'P11'!B10+'P12'!B10+'P13'!B10</f>
        <v>0</v>
      </c>
      <c r="C10" s="36">
        <f>'P1'!C10+'P2'!C10+'P3'!C10+'P4'!C10+'P5'!C10+'P6'!C10+'P7'!C10+'P8'!C10+'P9'!C10+'P10'!C10+'P11'!C10+'P12'!C10+'P13'!C10</f>
        <v>2.8200000000000003</v>
      </c>
      <c r="D10" s="36">
        <f>'P1'!D10+'P2'!D10+'P3'!D10+'P4'!D10+'P5'!D10+'P6'!D10+'P7'!D10+'P8'!D10+'P9'!D10+'P10'!D10+'P11'!D10+'P12'!D10+'P13'!D10</f>
        <v>1.9999999999999998</v>
      </c>
      <c r="E10" s="36">
        <f>'P1'!E10+'P2'!E10+'P3'!E10+'P4'!E10+'P5'!E10+'P6'!E10+'P7'!E10+'P8'!E10+'P9'!E10+'P10'!E10+'P11'!E10+'P12'!E10+'P13'!E10</f>
        <v>1.2400000000000002</v>
      </c>
      <c r="F10" s="36">
        <f>'P1'!F10+'P2'!F10+'P3'!F10+'P4'!F10+'P5'!F10+'P6'!F10+'P7'!F10+'P8'!F10+'P9'!F10+'P10'!F10+'P11'!F10+'P12'!F10+'P13'!F10</f>
        <v>1.69</v>
      </c>
      <c r="G10" s="36">
        <f>'P1'!G10+'P2'!G10+'P3'!G10+'P4'!G10+'P5'!G10+'P6'!G10+'P7'!G10+'P8'!G10+'P9'!G10+'P10'!G10+'P11'!G10+'P12'!G10+'P13'!G10</f>
        <v>1.5299999999999998</v>
      </c>
      <c r="H10" s="36">
        <f>'P1'!H10+'P2'!H10+'P3'!H10+'P4'!H10+'P5'!H10+'P6'!H10+'P7'!H10+'P8'!H10+'P9'!H10+'P10'!H10+'P11'!H10+'P12'!H10+'P13'!H10</f>
        <v>1.17</v>
      </c>
      <c r="I10" s="36">
        <f>'P1'!I10+'P2'!I10+'P3'!I10+'P4'!I10+'P5'!I10+'P6'!I10+'P7'!I10+'P8'!I10+'P9'!I10+'P10'!I10+'P11'!I10+'P12'!I10+'P13'!I10</f>
        <v>1.2800000000000002</v>
      </c>
      <c r="J10" s="36">
        <f>'P1'!J10+'P2'!J10+'P3'!J10+'P4'!J10+'P5'!J10+'P6'!J10+'P7'!J10+'P8'!J10+'P9'!J10+'P10'!J10+'P11'!J10+'P12'!J10+'P13'!J10</f>
        <v>1.2800000000000002</v>
      </c>
      <c r="K10" s="36">
        <f>'P1'!K10+'P2'!K10+'P3'!K10+'P4'!K10+'P5'!K10+'P6'!K10+'P7'!K10+'P8'!K10+'P9'!K10+'P10'!K10+'P11'!K10+'P12'!K10+'P13'!K10</f>
        <v>0.8</v>
      </c>
      <c r="L10" s="36">
        <f>'P1'!L10+'P2'!L10+'P3'!L10+'P4'!L10+'P5'!L10+'P6'!L10+'P7'!L10+'P8'!L10+'P9'!L10+'P10'!L10+'P11'!L10+'P12'!L10+'P13'!L10</f>
        <v>1.4599999999999997</v>
      </c>
      <c r="M10" s="36">
        <f>'P1'!M10+'P2'!M10+'P3'!M10+'P4'!M10+'P5'!M10+'P6'!M10+'P7'!M10+'P8'!M10+'P9'!M10+'P10'!M10+'P11'!M10+'P12'!M10+'P13'!M10</f>
        <v>76.709999999999994</v>
      </c>
      <c r="N10" s="36">
        <f>'P1'!N10+'P2'!N10+'P3'!N10+'P4'!N10+'P5'!N10+'P6'!N10+'P7'!N10+'P8'!N10+'P9'!N10+'P10'!N10+'P11'!N10+'P12'!N10+'P13'!N10</f>
        <v>3.5799999999999996</v>
      </c>
      <c r="O10" s="36">
        <f>'P1'!O10+'P2'!O10+'P3'!O10+'P4'!O10+'P5'!O10+'P6'!O10+'P7'!O10+'P8'!O10+'P9'!O10+'P10'!O10+'P11'!O10+'P12'!O10+'P13'!O10</f>
        <v>1.4700000000000006</v>
      </c>
      <c r="P10" s="36">
        <f>'P1'!P10+'P2'!P10+'P3'!P10+'P4'!P10+'P5'!P10+'P6'!P10+'P7'!P10+'P8'!P10+'P9'!P10+'P10'!P10+'P11'!P10+'P12'!P10+'P13'!P10</f>
        <v>1.9599999999999997</v>
      </c>
      <c r="Q10" s="36">
        <f>'P1'!Q10+'P2'!Q10+'P3'!Q10+'P4'!Q10+'P5'!Q10+'P6'!Q10+'P7'!Q10+'P8'!Q10+'P9'!Q10+'P10'!Q10+'P11'!Q10+'P12'!Q10+'P13'!Q10</f>
        <v>1.4900000000000002</v>
      </c>
      <c r="R10" s="36">
        <f>'P1'!R10+'P2'!R10+'P3'!R10+'P4'!R10+'P5'!R10+'P6'!R10+'P7'!R10+'P8'!R10+'P9'!R10+'P10'!R10+'P11'!R10+'P12'!R10+'P13'!R10</f>
        <v>4.91</v>
      </c>
      <c r="S10" s="36">
        <f>'P1'!S10+'P2'!S10+'P3'!S10+'P4'!S10+'P5'!S10+'P6'!S10+'P7'!S10+'P8'!S10+'P9'!S10+'P10'!S10+'P11'!S10+'P12'!S10+'P13'!S10</f>
        <v>1.6799999999999997</v>
      </c>
      <c r="T10" s="36">
        <f>'P1'!T10+'P2'!T10+'P3'!T10+'P4'!T10+'P5'!T10+'P6'!T10+'P7'!T10+'P8'!T10+'P9'!T10+'P10'!T10+'P11'!T10+'P12'!T10+'P13'!T10</f>
        <v>1.46</v>
      </c>
      <c r="U10" s="36">
        <f>'P1'!U10+'P2'!U10+'P3'!U10+'P4'!U10+'P5'!U10+'P6'!U10+'P7'!U10+'P8'!U10+'P9'!U10+'P10'!U10+'P11'!U10+'P12'!U10+'P13'!U10</f>
        <v>151.04</v>
      </c>
      <c r="V10" s="36">
        <f>'P1'!V10+'P2'!V10+'P3'!V10+'P4'!V10+'P5'!V10+'P6'!V10+'P7'!V10+'P8'!V10+'P9'!V10+'P10'!V10+'P11'!V10+'P12'!V10+'P13'!V10</f>
        <v>1.92</v>
      </c>
      <c r="W10" s="36">
        <f>'P1'!W10+'P2'!W10+'P3'!W10+'P4'!W10+'P5'!W10+'P6'!W10+'P7'!W10+'P8'!W10+'P9'!W10+'P10'!W10+'P11'!W10+'P12'!W10+'P13'!W10</f>
        <v>1.3600000000000003</v>
      </c>
      <c r="X10" s="36">
        <f>'P1'!X10+'P2'!X10+'P3'!X10+'P4'!X10+'P5'!X10+'P6'!X10+'P7'!X10+'P8'!X10+'P9'!X10+'P10'!X10+'P11'!X10+'P12'!X10+'P13'!X10</f>
        <v>1.3699999999999999</v>
      </c>
      <c r="Y10" s="36">
        <f>'P1'!Y10+'P2'!Y10+'P3'!Y10+'P4'!Y10+'P5'!Y10+'P6'!Y10+'P7'!Y10+'P8'!Y10+'P9'!Y10+'P10'!Y10+'P11'!Y10+'P12'!Y10+'P13'!Y10</f>
        <v>1.0199999999999998</v>
      </c>
      <c r="Z10" s="101">
        <f>SUM(B10:Y10)</f>
        <v>265.23999999999995</v>
      </c>
      <c r="AA10" s="36">
        <f>'P1'!AA10+'P2'!AA10+'P3'!AA10+'P4'!AA10+'P5'!AA10+'P6'!AA10+'P7'!AA10+'P8'!AA10+'P9'!AA10+'P10'!AA10+'P11'!AA10+'P12'!AA10+'P13'!AA10</f>
        <v>150.91000000000003</v>
      </c>
      <c r="AB10" s="37">
        <f>Z10+AA10</f>
        <v>416.15</v>
      </c>
    </row>
    <row r="11" spans="1:28" ht="18" customHeight="1" thickBot="1" x14ac:dyDescent="0.3">
      <c r="A11" s="49" t="s">
        <v>19</v>
      </c>
      <c r="B11" s="89">
        <f>SUM(B7:B10)</f>
        <v>3817.32</v>
      </c>
      <c r="C11" s="89">
        <f t="shared" ref="C11:Y11" si="0">SUM(C7:C10)</f>
        <v>704523.5199999999</v>
      </c>
      <c r="D11" s="89">
        <f t="shared" si="0"/>
        <v>529620.64999999991</v>
      </c>
      <c r="E11" s="89">
        <f t="shared" si="0"/>
        <v>552008.98</v>
      </c>
      <c r="F11" s="89">
        <f t="shared" si="0"/>
        <v>443038.33</v>
      </c>
      <c r="G11" s="89">
        <f t="shared" si="0"/>
        <v>225937.55000000002</v>
      </c>
      <c r="H11" s="89">
        <f t="shared" si="0"/>
        <v>414416.66</v>
      </c>
      <c r="I11" s="89">
        <f t="shared" si="0"/>
        <v>276070.30000000005</v>
      </c>
      <c r="J11" s="89">
        <f t="shared" si="0"/>
        <v>465023.57</v>
      </c>
      <c r="K11" s="89">
        <f t="shared" si="0"/>
        <v>229719.90999999995</v>
      </c>
      <c r="L11" s="89">
        <f t="shared" si="0"/>
        <v>271620.31000000006</v>
      </c>
      <c r="M11" s="89">
        <f t="shared" si="0"/>
        <v>451968.54</v>
      </c>
      <c r="N11" s="89">
        <f t="shared" si="0"/>
        <v>740903.16999999993</v>
      </c>
      <c r="O11" s="89">
        <f t="shared" si="0"/>
        <v>427017.87999999995</v>
      </c>
      <c r="P11" s="89">
        <f t="shared" si="0"/>
        <v>562804.6399999999</v>
      </c>
      <c r="Q11" s="89">
        <f t="shared" si="0"/>
        <v>330980.16999999993</v>
      </c>
      <c r="R11" s="89">
        <f t="shared" si="0"/>
        <v>516123.20999999996</v>
      </c>
      <c r="S11" s="89">
        <f t="shared" si="0"/>
        <v>502476.13000000006</v>
      </c>
      <c r="T11" s="89">
        <f t="shared" si="0"/>
        <v>370116.72000000003</v>
      </c>
      <c r="U11" s="89">
        <f t="shared" si="0"/>
        <v>341301.9599999999</v>
      </c>
      <c r="V11" s="89">
        <f t="shared" si="0"/>
        <v>539865.64</v>
      </c>
      <c r="W11" s="89">
        <f t="shared" si="0"/>
        <v>454428.38</v>
      </c>
      <c r="X11" s="89">
        <f t="shared" si="0"/>
        <v>358503.47000000003</v>
      </c>
      <c r="Y11" s="89">
        <f t="shared" si="0"/>
        <v>264338.46000000002</v>
      </c>
      <c r="Z11" s="140">
        <f>SUM(Z7:Z10)</f>
        <v>9976625.4700000007</v>
      </c>
      <c r="AA11" s="150">
        <f>SUM(AA7:AA10)</f>
        <v>254682.18</v>
      </c>
      <c r="AB11" s="151">
        <f>SUM(AB7:AB10)</f>
        <v>10231307.65</v>
      </c>
    </row>
    <row r="12" spans="1:28" ht="18" customHeight="1" thickBot="1" x14ac:dyDescent="0.3">
      <c r="A12" s="40"/>
      <c r="B12" s="41"/>
      <c r="C12" s="41"/>
      <c r="D12" s="41"/>
      <c r="E12" s="41">
        <v>154.26</v>
      </c>
      <c r="F12" s="41">
        <v>0</v>
      </c>
      <c r="G12" s="41">
        <v>0</v>
      </c>
      <c r="H12" s="41">
        <v>0</v>
      </c>
      <c r="I12" s="41">
        <v>0</v>
      </c>
      <c r="J12" s="41">
        <v>0</v>
      </c>
      <c r="K12" s="41">
        <v>0</v>
      </c>
      <c r="L12" s="41">
        <v>0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41">
        <v>0</v>
      </c>
      <c r="S12" s="41">
        <v>77.13</v>
      </c>
      <c r="T12" s="41">
        <v>0</v>
      </c>
      <c r="U12" s="41">
        <v>0</v>
      </c>
      <c r="V12" s="41">
        <v>0</v>
      </c>
      <c r="W12" s="41">
        <v>0</v>
      </c>
      <c r="X12" s="41">
        <v>0</v>
      </c>
      <c r="Y12" s="41">
        <v>0</v>
      </c>
      <c r="Z12" s="103"/>
      <c r="AA12" s="110"/>
      <c r="AB12" s="95"/>
    </row>
    <row r="13" spans="1:28" ht="45.75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88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f>'P1'!B14+'P2'!B14+'P3'!B14+'P4'!B14+'P5'!B14+'P6'!B14+'P7'!B14+'P8'!B14+'P9'!B14+'P10'!B14+'P11'!B14+'P12'!B14+'P13'!B14</f>
        <v>300.94</v>
      </c>
      <c r="C14" s="36">
        <f>'P1'!C14+'P2'!C14+'P3'!C14+'P4'!C14+'P5'!C14+'P6'!C14+'P7'!C14+'P8'!C14+'P9'!C14+'P10'!C14+'P11'!C14+'P12'!C14+'P13'!C14</f>
        <v>2156.3999999999996</v>
      </c>
      <c r="D14" s="36">
        <f>'P1'!D14+'P2'!D14+'P3'!D14+'P4'!D14+'P5'!D14+'P6'!D14+'P7'!D14+'P8'!D14+'P9'!D14+'P10'!D14+'P11'!D14+'P12'!D14+'P13'!D14</f>
        <v>2115.35</v>
      </c>
      <c r="E14" s="36">
        <f>'P1'!E14+'P2'!E14+'P3'!E14+'P4'!E14+'P5'!E14+'P6'!E14+'P7'!E14+'P8'!E14+'P9'!E14+'P10'!E14+'P11'!E14+'P12'!E14+'P13'!E14</f>
        <v>2359.25</v>
      </c>
      <c r="F14" s="36">
        <f>'P1'!F14+'P2'!F14+'P3'!F14+'P4'!F14+'P5'!F14+'P6'!F14+'P7'!F14+'P8'!F14+'P9'!F14+'P10'!F14+'P11'!F14+'P12'!F14+'P13'!F14</f>
        <v>1015.28</v>
      </c>
      <c r="G14" s="36">
        <f>'P1'!G14+'P2'!G14+'P3'!G14+'P4'!G14+'P5'!G14+'P6'!G14+'P7'!G14+'P8'!G14+'P9'!G14+'P10'!G14+'P11'!G14+'P12'!G14+'P13'!G14</f>
        <v>662.8</v>
      </c>
      <c r="H14" s="36">
        <f>'P1'!H14+'P2'!H14+'P3'!H14+'P4'!H14+'P5'!H14+'P6'!H14+'P7'!H14+'P8'!H14+'P9'!H14+'P10'!H14+'P11'!H14+'P12'!H14+'P13'!H14</f>
        <v>1671.6599999999999</v>
      </c>
      <c r="I14" s="36">
        <f>'P1'!I14+'P2'!I14+'P3'!I14+'P4'!I14+'P5'!I14+'P6'!I14+'P7'!I14+'P8'!I14+'P9'!I14+'P10'!I14+'P11'!I14+'P12'!I14+'P13'!I14</f>
        <v>1536.98</v>
      </c>
      <c r="J14" s="36">
        <f>'P1'!J14+'P2'!J14+'P3'!J14+'P4'!J14+'P5'!J14+'P6'!J14+'P7'!J14+'P8'!J14+'P9'!J14+'P10'!J14+'P11'!J14+'P12'!J14+'P13'!J14</f>
        <v>1536.44</v>
      </c>
      <c r="K14" s="36">
        <f>'P1'!K14+'P2'!K14+'P3'!K14+'P4'!K14+'P5'!K14+'P6'!K14+'P7'!K14+'P8'!K14+'P9'!K14+'P10'!K14+'P11'!K14+'P12'!K14+'P13'!K14</f>
        <v>1223.69</v>
      </c>
      <c r="L14" s="36">
        <f>'P1'!L14+'P2'!L14+'P3'!L14+'P4'!L14+'P5'!L14+'P6'!L14+'P7'!L14+'P8'!L14+'P9'!L14+'P10'!L14+'P11'!L14+'P12'!L14+'P13'!L14</f>
        <v>725.82999999999993</v>
      </c>
      <c r="M14" s="36">
        <f>'P1'!M14+'P2'!M14+'P3'!M14+'P4'!M14+'P5'!M14+'P6'!M14+'P7'!M14+'P8'!M14+'P9'!M14+'P10'!M14+'P11'!M14+'P12'!M14+'P13'!M14</f>
        <v>2704.74</v>
      </c>
      <c r="N14" s="36">
        <f>'P1'!N14+'P2'!N14+'P3'!N14+'P4'!N14+'P5'!N14+'P6'!N14+'P7'!N14+'P8'!N14+'P9'!N14+'P10'!N14+'P11'!N14+'P12'!N14+'P13'!N14</f>
        <v>1936.5399999999997</v>
      </c>
      <c r="O14" s="36">
        <f>'P1'!O14+'P2'!O14+'P3'!O14+'P4'!O14+'P5'!O14+'P6'!O14+'P7'!O14+'P8'!O14+'P9'!O14+'P10'!O14+'P11'!O14+'P12'!O14+'P13'!O14</f>
        <v>1868.0299999999997</v>
      </c>
      <c r="P14" s="36">
        <f>'P1'!P14+'P2'!P14+'P3'!P14+'P4'!P14+'P5'!P14+'P6'!P14+'P7'!P14+'P8'!P14+'P9'!P14+'P10'!P14+'P11'!P14+'P12'!P14+'P13'!P14</f>
        <v>1383.1100000000001</v>
      </c>
      <c r="Q14" s="36">
        <f>'P1'!Q14+'P2'!Q14+'P3'!Q14+'P4'!Q14+'P5'!Q14+'P6'!Q14+'P7'!Q14+'P8'!Q14+'P9'!Q14+'P10'!Q14+'P11'!Q14+'P12'!Q14+'P13'!Q14</f>
        <v>1101.33</v>
      </c>
      <c r="R14" s="36">
        <f>'P1'!R14+'P2'!R14+'P3'!R14+'P4'!R14+'P5'!R14+'P6'!R14+'P7'!R14+'P8'!R14+'P9'!R14+'P10'!R14+'P11'!R14+'P12'!R14+'P13'!R14</f>
        <v>1741.1499999999996</v>
      </c>
      <c r="S14" s="36">
        <f>'P1'!S14+'P2'!S14+'P3'!S14+'P4'!S14+'P5'!S14+'P6'!S14+'P7'!S14+'P8'!S14+'P9'!S14+'P10'!S14+'P11'!S14+'P12'!S14+'P13'!S14</f>
        <v>2107.66</v>
      </c>
      <c r="T14" s="36">
        <f>'P1'!T14+'P2'!T14+'P3'!T14+'P4'!T14+'P5'!T14+'P6'!T14+'P7'!T14+'P8'!T14+'P9'!T14+'P10'!T14+'P11'!T14+'P12'!T14+'P13'!T14</f>
        <v>2072.4299999999998</v>
      </c>
      <c r="U14" s="36">
        <f>'P1'!U14+'P2'!U14+'P3'!U14+'P4'!U14+'P5'!U14+'P6'!U14+'P7'!U14+'P8'!U14+'P9'!U14+'P10'!U14+'P11'!U14+'P12'!U14+'P13'!U14</f>
        <v>1695.3700000000001</v>
      </c>
      <c r="V14" s="36">
        <f>'P1'!V14+'P2'!V14+'P3'!V14+'P4'!V14+'P5'!V14+'P6'!V14+'P7'!V14+'P8'!V14+'P9'!V14+'P10'!V14+'P11'!V14+'P12'!V14+'P13'!V14</f>
        <v>2975.83</v>
      </c>
      <c r="W14" s="36">
        <f>'P1'!W14+'P2'!W14+'P3'!W14+'P4'!W14+'P5'!W14+'P6'!W14+'P7'!W14+'P8'!W14+'P9'!W14+'P10'!W14+'P11'!W14+'P12'!W14+'P13'!W14</f>
        <v>1345.67</v>
      </c>
      <c r="X14" s="36">
        <f>'P1'!X14+'P2'!X14+'P3'!X14+'P4'!X14+'P5'!X14+'P6'!X14+'P7'!X14+'P8'!X14+'P9'!X14+'P10'!X14+'P11'!X14+'P12'!X14+'P13'!X14</f>
        <v>2800.0899999999997</v>
      </c>
      <c r="Y14" s="36">
        <f>'P1'!Y14+'P2'!Y14+'P3'!Y14+'P4'!Y14+'P5'!Y14+'P6'!Y14+'P7'!Y14+'P8'!Y14+'P9'!Y14+'P10'!Y14+'P11'!Y14+'P12'!Y14+'P13'!Y14</f>
        <v>1648.41</v>
      </c>
      <c r="Z14" s="101">
        <f>SUM(B14:Y14)</f>
        <v>40684.980000000003</v>
      </c>
      <c r="AA14" s="101">
        <f>'P1'!AA14+'P2'!AA14+'P3'!AA14+'P4'!AA14+'P5'!AA14+'P6'!AA14+'P7'!AA14+'P8'!AA14+'P9'!AA14+'P10'!AA14+'P11'!AA14+'P12'!AA14+'P13'!AA14</f>
        <v>1362.8200000000002</v>
      </c>
      <c r="AB14" s="93">
        <f>Z14+AA14</f>
        <v>42047.8</v>
      </c>
    </row>
    <row r="15" spans="1:28" ht="18" customHeight="1" x14ac:dyDescent="0.25">
      <c r="A15" s="35" t="s">
        <v>8</v>
      </c>
      <c r="B15" s="36">
        <f>'P1'!B15+'P2'!B15+'P3'!B15+'P4'!B15+'P5'!B15+'P6'!B15+'P7'!B15+'P8'!B15+'P9'!B15+'P10'!B15+'P11'!B15+'P12'!B15+'P13'!B15</f>
        <v>1994.01</v>
      </c>
      <c r="C15" s="36">
        <f>'P1'!C15+'P2'!C15+'P3'!C15+'P4'!C15+'P5'!C15+'P6'!C15+'P7'!C15+'P8'!C15+'P9'!C15+'P10'!C15+'P11'!C15+'P12'!C15+'P13'!C15</f>
        <v>14835.87</v>
      </c>
      <c r="D15" s="36">
        <f>'P1'!D15+'P2'!D15+'P3'!D15+'P4'!D15+'P5'!D15+'P6'!D15+'P7'!D15+'P8'!D15+'P9'!D15+'P10'!D15+'P11'!D15+'P12'!D15+'P13'!D15</f>
        <v>9506.81</v>
      </c>
      <c r="E15" s="36">
        <f>'P1'!E15+'P2'!E15+'P3'!E15+'P4'!E15+'P5'!E15+'P6'!E15+'P7'!E15+'P8'!E15+'P9'!E15+'P10'!E15+'P11'!E15+'P12'!E15+'P13'!E15</f>
        <v>10510.800000000001</v>
      </c>
      <c r="F15" s="36">
        <f>'P1'!F15+'P2'!F15+'P3'!F15+'P4'!F15+'P5'!F15+'P6'!F15+'P7'!F15+'P8'!F15+'P9'!F15+'P10'!F15+'P11'!F15+'P12'!F15+'P13'!F15</f>
        <v>5981.67</v>
      </c>
      <c r="G15" s="36">
        <f>'P1'!G15+'P2'!G15+'P3'!G15+'P4'!G15+'P5'!G15+'P6'!G15+'P7'!G15+'P8'!G15+'P9'!G15+'P10'!G15+'P11'!G15+'P12'!G15+'P13'!G15</f>
        <v>6229.2800000000007</v>
      </c>
      <c r="H15" s="36">
        <f>'P1'!H15+'P2'!H15+'P3'!H15+'P4'!H15+'P5'!H15+'P6'!H15+'P7'!H15+'P8'!H15+'P9'!H15+'P10'!H15+'P11'!H15+'P12'!H15+'P13'!H15</f>
        <v>8022.09</v>
      </c>
      <c r="I15" s="36">
        <f>'P1'!I15+'P2'!I15+'P3'!I15+'P4'!I15+'P5'!I15+'P6'!I15+'P7'!I15+'P8'!I15+'P9'!I15+'P10'!I15+'P11'!I15+'P12'!I15+'P13'!I15</f>
        <v>5019.8599999999997</v>
      </c>
      <c r="J15" s="36">
        <f>'P1'!J15+'P2'!J15+'P3'!J15+'P4'!J15+'P5'!J15+'P6'!J15+'P7'!J15+'P8'!J15+'P9'!J15+'P10'!J15+'P11'!J15+'P12'!J15+'P13'!J15</f>
        <v>10360.779999999999</v>
      </c>
      <c r="K15" s="36">
        <f>'P1'!K15+'P2'!K15+'P3'!K15+'P4'!K15+'P5'!K15+'P6'!K15+'P7'!K15+'P8'!K15+'P9'!K15+'P10'!K15+'P11'!K15+'P12'!K15+'P13'!K15</f>
        <v>5558.6799999999994</v>
      </c>
      <c r="L15" s="36">
        <f>'P1'!L15+'P2'!L15+'P3'!L15+'P4'!L15+'P5'!L15+'P6'!L15+'P7'!L15+'P8'!L15+'P9'!L15+'P10'!L15+'P11'!L15+'P12'!L15+'P13'!L15</f>
        <v>6152.23</v>
      </c>
      <c r="M15" s="36">
        <f>'P1'!M15+'P2'!M15+'P3'!M15+'P4'!M15+'P5'!M15+'P6'!M15+'P7'!M15+'P8'!M15+'P9'!M15+'P10'!M15+'P11'!M15+'P12'!M15+'P13'!M15</f>
        <v>10202.519999999999</v>
      </c>
      <c r="N15" s="36">
        <f>'P1'!N15+'P2'!N15+'P3'!N15+'P4'!N15+'P5'!N15+'P6'!N15+'P7'!N15+'P8'!N15+'P9'!N15+'P10'!N15+'P11'!N15+'P12'!N15+'P13'!N15</f>
        <v>22843.73</v>
      </c>
      <c r="O15" s="36">
        <f>'P1'!O15+'P2'!O15+'P3'!O15+'P4'!O15+'P5'!O15+'P6'!O15+'P7'!O15+'P8'!O15+'P9'!O15+'P10'!O15+'P11'!O15+'P12'!O15+'P13'!O15</f>
        <v>10343.93</v>
      </c>
      <c r="P15" s="36">
        <f>'P1'!P15+'P2'!P15+'P3'!P15+'P4'!P15+'P5'!P15+'P6'!P15+'P7'!P15+'P8'!P15+'P9'!P15+'P10'!P15+'P11'!P15+'P12'!P15+'P13'!P15</f>
        <v>14431.349999999999</v>
      </c>
      <c r="Q15" s="36">
        <f>'P1'!Q15+'P2'!Q15+'P3'!Q15+'P4'!Q15+'P5'!Q15+'P6'!Q15+'P7'!Q15+'P8'!Q15+'P9'!Q15+'P10'!Q15+'P11'!Q15+'P12'!Q15+'P13'!Q15</f>
        <v>5884.1900000000005</v>
      </c>
      <c r="R15" s="36">
        <f>'P1'!R15+'P2'!R15+'P3'!R15+'P4'!R15+'P5'!R15+'P6'!R15+'P7'!R15+'P8'!R15+'P9'!R15+'P10'!R15+'P11'!R15+'P12'!R15+'P13'!R15</f>
        <v>11368.490000000002</v>
      </c>
      <c r="S15" s="36">
        <f>'P1'!S15+'P2'!S15+'P3'!S15+'P4'!S15+'P5'!S15+'P6'!S15+'P7'!S15+'P8'!S15+'P9'!S15+'P10'!S15+'P11'!S15+'P12'!S15+'P13'!S15</f>
        <v>14579.820000000002</v>
      </c>
      <c r="T15" s="36">
        <f>'P1'!T15+'P2'!T15+'P3'!T15+'P4'!T15+'P5'!T15+'P6'!T15+'P7'!T15+'P8'!T15+'P9'!T15+'P10'!T15+'P11'!T15+'P12'!T15+'P13'!T15</f>
        <v>10143.329999999998</v>
      </c>
      <c r="U15" s="36">
        <f>'P1'!U15+'P2'!U15+'P3'!U15+'P4'!U15+'P5'!U15+'P6'!U15+'P7'!U15+'P8'!U15+'P9'!U15+'P10'!U15+'P11'!U15+'P12'!U15+'P13'!U15</f>
        <v>7458.7900000000009</v>
      </c>
      <c r="V15" s="36">
        <f>'P1'!V15+'P2'!V15+'P3'!V15+'P4'!V15+'P5'!V15+'P6'!V15+'P7'!V15+'P8'!V15+'P9'!V15+'P10'!V15+'P11'!V15+'P12'!V15+'P13'!V15</f>
        <v>13123.580000000002</v>
      </c>
      <c r="W15" s="36">
        <f>'P1'!W15+'P2'!W15+'P3'!W15+'P4'!W15+'P5'!W15+'P6'!W15+'P7'!W15+'P8'!W15+'P9'!W15+'P10'!W15+'P11'!W15+'P12'!W15+'P13'!W15</f>
        <v>10645.140000000001</v>
      </c>
      <c r="X15" s="36">
        <f>'P1'!X15+'P2'!X15+'P3'!X15+'P4'!X15+'P5'!X15+'P6'!X15+'P7'!X15+'P8'!X15+'P9'!X15+'P10'!X15+'P11'!X15+'P12'!X15+'P13'!X15</f>
        <v>4637.0199999999995</v>
      </c>
      <c r="Y15" s="36">
        <f>'P1'!Y15+'P2'!Y15+'P3'!Y15+'P4'!Y15+'P5'!Y15+'P6'!Y15+'P7'!Y15+'P8'!Y15+'P9'!Y15+'P10'!Y15+'P11'!Y15+'P12'!Y15+'P13'!Y15</f>
        <v>8538.42</v>
      </c>
      <c r="Z15" s="101">
        <f>SUM(B15:Y15)</f>
        <v>228372.39</v>
      </c>
      <c r="AA15" s="101">
        <f>'P1'!AA15+'P2'!AA15+'P3'!AA15+'P4'!AA15+'P5'!AA15+'P6'!AA15+'P7'!AA15+'P8'!AA15+'P9'!AA15+'P10'!AA15+'P11'!AA15+'P12'!AA15+'P13'!AA15</f>
        <v>6588.67</v>
      </c>
      <c r="AB15" s="93">
        <f>Z15+AA15</f>
        <v>234961.06000000003</v>
      </c>
    </row>
    <row r="16" spans="1:28" ht="18" customHeight="1" x14ac:dyDescent="0.25">
      <c r="A16" s="35" t="s">
        <v>13</v>
      </c>
      <c r="B16" s="36">
        <f>'P1'!B16+'P2'!B16+'P3'!B16+'P4'!B16+'P5'!B16+'P6'!B16+'P7'!B16+'P8'!B16+'P9'!B16+'P10'!B16+'P11'!B16+'P12'!B16+'P13'!B16</f>
        <v>167.51999999999998</v>
      </c>
      <c r="C16" s="36">
        <f>'P1'!C16+'P2'!C16+'P3'!C16+'P4'!C16+'P5'!C16+'P6'!C16+'P7'!C16+'P8'!C16+'P9'!C16+'P10'!C16+'P11'!C16+'P12'!C16+'P13'!C16</f>
        <v>1148.94</v>
      </c>
      <c r="D16" s="36">
        <f>'P1'!D16+'P2'!D16+'P3'!D16+'P4'!D16+'P5'!D16+'P6'!D16+'P7'!D16+'P8'!D16+'P9'!D16+'P10'!D16+'P11'!D16+'P12'!D16+'P13'!D16</f>
        <v>753.34</v>
      </c>
      <c r="E16" s="36">
        <f>'P1'!E16+'P2'!E16+'P3'!E16+'P4'!E16+'P5'!E16+'P6'!E16+'P7'!E16+'P8'!E16+'P9'!E16+'P10'!E16+'P11'!E16+'P12'!E16+'P13'!E16</f>
        <v>715.74</v>
      </c>
      <c r="F16" s="36">
        <f>'P1'!F16+'P2'!F16+'P3'!F16+'P4'!F16+'P5'!F16+'P6'!F16+'P7'!F16+'P8'!F16+'P9'!F16+'P10'!F16+'P11'!F16+'P12'!F16+'P13'!F16</f>
        <v>882.88</v>
      </c>
      <c r="G16" s="36">
        <f>'P1'!G16+'P2'!G16+'P3'!G16+'P4'!G16+'P5'!G16+'P6'!G16+'P7'!G16+'P8'!G16+'P9'!G16+'P10'!G16+'P11'!G16+'P12'!G16+'P13'!G16</f>
        <v>456.13000000000005</v>
      </c>
      <c r="H16" s="36">
        <f>'P1'!H16+'P2'!H16+'P3'!H16+'P4'!H16+'P5'!H16+'P6'!H16+'P7'!H16+'P8'!H16+'P9'!H16+'P10'!H16+'P11'!H16+'P12'!H16+'P13'!H16</f>
        <v>814.80000000000018</v>
      </c>
      <c r="I16" s="36">
        <f>'P1'!I16+'P2'!I16+'P3'!I16+'P4'!I16+'P5'!I16+'P6'!I16+'P7'!I16+'P8'!I16+'P9'!I16+'P10'!I16+'P11'!I16+'P12'!I16+'P13'!I16</f>
        <v>372.24</v>
      </c>
      <c r="J16" s="36">
        <f>'P1'!J16+'P2'!J16+'P3'!J16+'P4'!J16+'P5'!J16+'P6'!J16+'P7'!J16+'P8'!J16+'P9'!J16+'P10'!J16+'P11'!J16+'P12'!J16+'P13'!J16</f>
        <v>790.54</v>
      </c>
      <c r="K16" s="36">
        <f>'P1'!K16+'P2'!K16+'P3'!K16+'P4'!K16+'P5'!K16+'P6'!K16+'P7'!K16+'P8'!K16+'P9'!K16+'P10'!K16+'P11'!K16+'P12'!K16+'P13'!K16</f>
        <v>297.22999999999996</v>
      </c>
      <c r="L16" s="36">
        <f>'P1'!L16+'P2'!L16+'P3'!L16+'P4'!L16+'P5'!L16+'P6'!L16+'P7'!L16+'P8'!L16+'P9'!L16+'P10'!L16+'P11'!L16+'P12'!L16+'P13'!L16</f>
        <v>547.79</v>
      </c>
      <c r="M16" s="36">
        <f>'P1'!M16+'P2'!M16+'P3'!M16+'P4'!M16+'P5'!M16+'P6'!M16+'P7'!M16+'P8'!M16+'P9'!M16+'P10'!M16+'P11'!M16+'P12'!M16+'P13'!M16</f>
        <v>556.79</v>
      </c>
      <c r="N16" s="36">
        <f>'P1'!N16+'P2'!N16+'P3'!N16+'P4'!N16+'P5'!N16+'P6'!N16+'P7'!N16+'P8'!N16+'P9'!N16+'P10'!N16+'P11'!N16+'P12'!N16+'P13'!N16</f>
        <v>1293.9899999999998</v>
      </c>
      <c r="O16" s="36">
        <f>'P1'!O16+'P2'!O16+'P3'!O16+'P4'!O16+'P5'!O16+'P6'!O16+'P7'!O16+'P8'!O16+'P9'!O16+'P10'!O16+'P11'!O16+'P12'!O16+'P13'!O16</f>
        <v>892.18000000000006</v>
      </c>
      <c r="P16" s="36">
        <f>'P1'!P16+'P2'!P16+'P3'!P16+'P4'!P16+'P5'!P16+'P6'!P16+'P7'!P16+'P8'!P16+'P9'!P16+'P10'!P16+'P11'!P16+'P12'!P16+'P13'!P16</f>
        <v>1356.47</v>
      </c>
      <c r="Q16" s="36">
        <f>'P1'!Q16+'P2'!Q16+'P3'!Q16+'P4'!Q16+'P5'!Q16+'P6'!Q16+'P7'!Q16+'P8'!Q16+'P9'!Q16+'P10'!Q16+'P11'!Q16+'P12'!Q16+'P13'!Q16</f>
        <v>332.12</v>
      </c>
      <c r="R16" s="36">
        <f>'P1'!R16+'P2'!R16+'P3'!R16+'P4'!R16+'P5'!R16+'P6'!R16+'P7'!R16+'P8'!R16+'P9'!R16+'P10'!R16+'P11'!R16+'P12'!R16+'P13'!R16</f>
        <v>580.33000000000004</v>
      </c>
      <c r="S16" s="36">
        <f>'P1'!S16+'P2'!S16+'P3'!S16+'P4'!S16+'P5'!S16+'P6'!S16+'P7'!S16+'P8'!S16+'P9'!S16+'P10'!S16+'P11'!S16+'P12'!S16+'P13'!S16</f>
        <v>841.04</v>
      </c>
      <c r="T16" s="36">
        <f>'P1'!T16+'P2'!T16+'P3'!T16+'P4'!T16+'P5'!T16+'P6'!T16+'P7'!T16+'P8'!T16+'P9'!T16+'P10'!T16+'P11'!T16+'P12'!T16+'P13'!T16</f>
        <v>467.1</v>
      </c>
      <c r="U16" s="36">
        <f>'P1'!U16+'P2'!U16+'P3'!U16+'P4'!U16+'P5'!U16+'P6'!U16+'P7'!U16+'P8'!U16+'P9'!U16+'P10'!U16+'P11'!U16+'P12'!U16+'P13'!U16</f>
        <v>745.48</v>
      </c>
      <c r="V16" s="36">
        <f>'P1'!V16+'P2'!V16+'P3'!V16+'P4'!V16+'P5'!V16+'P6'!V16+'P7'!V16+'P8'!V16+'P9'!V16+'P10'!V16+'P11'!V16+'P12'!V16+'P13'!V16</f>
        <v>937.31</v>
      </c>
      <c r="W16" s="36">
        <f>'P1'!W16+'P2'!W16+'P3'!W16+'P4'!W16+'P5'!W16+'P6'!W16+'P7'!W16+'P8'!W16+'P9'!W16+'P10'!W16+'P11'!W16+'P12'!W16+'P13'!W16</f>
        <v>596.86</v>
      </c>
      <c r="X16" s="36">
        <f>'P1'!X16+'P2'!X16+'P3'!X16+'P4'!X16+'P5'!X16+'P6'!X16+'P7'!X16+'P8'!X16+'P9'!X16+'P10'!X16+'P11'!X16+'P12'!X16+'P13'!X16</f>
        <v>784.97</v>
      </c>
      <c r="Y16" s="36">
        <f>'P1'!Y16+'P2'!Y16+'P3'!Y16+'P4'!Y16+'P5'!Y16+'P6'!Y16+'P7'!Y16+'P8'!Y16+'P9'!Y16+'P10'!Y16+'P11'!Y16+'P12'!Y16+'P13'!Y16</f>
        <v>729.52</v>
      </c>
      <c r="Z16" s="101">
        <f>SUM(B16:Y16)</f>
        <v>17061.309999999998</v>
      </c>
      <c r="AA16" s="101">
        <f>'P1'!AA16+'P2'!AA16+'P3'!AA16+'P4'!AA16+'P5'!AA16+'P6'!AA16+'P7'!AA16+'P8'!AA16+'P9'!AA16+'P10'!AA16+'P11'!AA16+'P12'!AA16+'P13'!AA16</f>
        <v>645.75</v>
      </c>
      <c r="AB16" s="93">
        <f>Z16+AA16</f>
        <v>17707.059999999998</v>
      </c>
    </row>
    <row r="17" spans="1:28" ht="18" customHeight="1" thickBot="1" x14ac:dyDescent="0.3">
      <c r="A17" s="35" t="s">
        <v>22</v>
      </c>
      <c r="B17" s="36">
        <f>'P1'!B17+'P2'!B17+'P3'!B17+'P4'!B17+'P5'!B17+'P6'!B17+'P7'!B17+'P8'!B17+'P9'!B17+'P10'!B17+'P11'!B17+'P12'!B17+'P13'!B17</f>
        <v>655.04999999999995</v>
      </c>
      <c r="C17" s="36">
        <f>'P1'!C17+'P2'!C17+'P3'!C17+'P4'!C17+'P5'!C17+'P6'!C17+'P7'!C17+'P8'!C17+'P9'!C17+'P10'!C17+'P11'!C17+'P12'!C17+'P13'!C17</f>
        <v>5067.8900000000003</v>
      </c>
      <c r="D17" s="36">
        <f>'P1'!D17+'P2'!D17+'P3'!D17+'P4'!D17+'P5'!D17+'P6'!D17+'P7'!D17+'P8'!D17+'P9'!D17+'P10'!D17+'P11'!D17+'P12'!D17+'P13'!D17</f>
        <v>2052.7000000000003</v>
      </c>
      <c r="E17" s="36">
        <f>'P1'!E17+'P2'!E17+'P3'!E17+'P4'!E17+'P5'!E17+'P6'!E17+'P7'!E17+'P8'!E17+'P9'!E17+'P10'!E17+'P11'!E17+'P12'!E17+'P13'!E17</f>
        <v>2073.23</v>
      </c>
      <c r="F17" s="36">
        <f>'P1'!F17+'P2'!F17+'P3'!F17+'P4'!F17+'P5'!F17+'P6'!F17+'P7'!F17+'P8'!F17+'P9'!F17+'P10'!F17+'P11'!F17+'P12'!F17+'P13'!F17</f>
        <v>1614.4099999999999</v>
      </c>
      <c r="G17" s="36">
        <f>'P1'!G17+'P2'!G17+'P3'!G17+'P4'!G17+'P5'!G17+'P6'!G17+'P7'!G17+'P8'!G17+'P9'!G17+'P10'!G17+'P11'!G17+'P12'!G17+'P13'!G17</f>
        <v>814.77</v>
      </c>
      <c r="H17" s="36">
        <f>'P1'!H17+'P2'!H17+'P3'!H17+'P4'!H17+'P5'!H17+'P6'!H17+'P7'!H17+'P8'!H17+'P9'!H17+'P10'!H17+'P11'!H17+'P12'!H17+'P13'!H17</f>
        <v>1309.5100000000002</v>
      </c>
      <c r="I17" s="36">
        <f>'P1'!I17+'P2'!I17+'P3'!I17+'P4'!I17+'P5'!I17+'P6'!I17+'P7'!I17+'P8'!I17+'P9'!I17+'P10'!I17+'P11'!I17+'P12'!I17+'P13'!I17</f>
        <v>1301.5099999999998</v>
      </c>
      <c r="J17" s="36">
        <f>'P1'!J17+'P2'!J17+'P3'!J17+'P4'!J17+'P5'!J17+'P6'!J17+'P7'!J17+'P8'!J17+'P9'!J17+'P10'!J17+'P11'!J17+'P12'!J17+'P13'!J17</f>
        <v>1068.31</v>
      </c>
      <c r="K17" s="36">
        <f>'P1'!K17+'P2'!K17+'P3'!K17+'P4'!K17+'P5'!K17+'P6'!K17+'P7'!K17+'P8'!K17+'P9'!K17+'P10'!K17+'P11'!K17+'P12'!K17+'P13'!K17</f>
        <v>1023.29</v>
      </c>
      <c r="L17" s="36">
        <f>'P1'!L17+'P2'!L17+'P3'!L17+'P4'!L17+'P5'!L17+'P6'!L17+'P7'!L17+'P8'!L17+'P9'!L17+'P10'!L17+'P11'!L17+'P12'!L17+'P13'!L17</f>
        <v>843.02</v>
      </c>
      <c r="M17" s="36">
        <f>'P1'!M17+'P2'!M17+'P3'!M17+'P4'!M17+'P5'!M17+'P6'!M17+'P7'!M17+'P8'!M17+'P9'!M17+'P10'!M17+'P11'!M17+'P12'!M17+'P13'!M17</f>
        <v>1682.2000000000003</v>
      </c>
      <c r="N17" s="36">
        <f>'P1'!N17+'P2'!N17+'P3'!N17+'P4'!N17+'P5'!N17+'P6'!N17+'P7'!N17+'P8'!N17+'P9'!N17+'P10'!N17+'P11'!N17+'P12'!N17+'P13'!N17</f>
        <v>2652.2900000000004</v>
      </c>
      <c r="O17" s="36">
        <f>'P1'!O17+'P2'!O17+'P3'!O17+'P4'!O17+'P5'!O17+'P6'!O17+'P7'!O17+'P8'!O17+'P9'!O17+'P10'!O17+'P11'!O17+'P12'!O17+'P13'!O17</f>
        <v>1785.3700000000001</v>
      </c>
      <c r="P17" s="36">
        <f>'P1'!P17+'P2'!P17+'P3'!P17+'P4'!P17+'P5'!P17+'P6'!P17+'P7'!P17+'P8'!P17+'P9'!P17+'P10'!P17+'P11'!P17+'P12'!P17+'P13'!P17</f>
        <v>1692.6200000000001</v>
      </c>
      <c r="Q17" s="36">
        <f>'P1'!Q17+'P2'!Q17+'P3'!Q17+'P4'!Q17+'P5'!Q17+'P6'!Q17+'P7'!Q17+'P8'!Q17+'P9'!Q17+'P10'!Q17+'P11'!Q17+'P12'!Q17+'P13'!Q17</f>
        <v>1327.95</v>
      </c>
      <c r="R17" s="36">
        <f>'P1'!R17+'P2'!R17+'P3'!R17+'P4'!R17+'P5'!R17+'P6'!R17+'P7'!R17+'P8'!R17+'P9'!R17+'P10'!R17+'P11'!R17+'P12'!R17+'P13'!R17</f>
        <v>6005.3200000000006</v>
      </c>
      <c r="S17" s="36">
        <f>'P1'!S17+'P2'!S17+'P3'!S17+'P4'!S17+'P5'!S17+'P6'!S17+'P7'!S17+'P8'!S17+'P9'!S17+'P10'!S17+'P11'!S17+'P12'!S17+'P13'!S17</f>
        <v>2765.59</v>
      </c>
      <c r="T17" s="36">
        <f>'P1'!T17+'P2'!T17+'P3'!T17+'P4'!T17+'P5'!T17+'P6'!T17+'P7'!T17+'P8'!T17+'P9'!T17+'P10'!T17+'P11'!T17+'P12'!T17+'P13'!T17</f>
        <v>1014.2900000000001</v>
      </c>
      <c r="U17" s="36">
        <f>'P1'!U17+'P2'!U17+'P3'!U17+'P4'!U17+'P5'!U17+'P6'!U17+'P7'!U17+'P8'!U17+'P9'!U17+'P10'!U17+'P11'!U17+'P12'!U17+'P13'!U17</f>
        <v>1846.19</v>
      </c>
      <c r="V17" s="36">
        <f>'P1'!V17+'P2'!V17+'P3'!V17+'P4'!V17+'P5'!V17+'P6'!V17+'P7'!V17+'P8'!V17+'P9'!V17+'P10'!V17+'P11'!V17+'P12'!V17+'P13'!V17</f>
        <v>1577.45</v>
      </c>
      <c r="W17" s="36">
        <f>'P1'!W17+'P2'!W17+'P3'!W17+'P4'!W17+'P5'!W17+'P6'!W17+'P7'!W17+'P8'!W17+'P9'!W17+'P10'!W17+'P11'!W17+'P12'!W17+'P13'!W17</f>
        <v>1810.9299999999998</v>
      </c>
      <c r="X17" s="36">
        <f>'P1'!X17+'P2'!X17+'P3'!X17+'P4'!X17+'P5'!X17+'P6'!X17+'P7'!X17+'P8'!X17+'P9'!X17+'P10'!X17+'P11'!X17+'P12'!X17+'P13'!X17</f>
        <v>1451.9200000000003</v>
      </c>
      <c r="Y17" s="36">
        <f>'P1'!Y17+'P2'!Y17+'P3'!Y17+'P4'!Y17+'P5'!Y17+'P6'!Y17+'P7'!Y17+'P8'!Y17+'P9'!Y17+'P10'!Y17+'P11'!Y17+'P12'!Y17+'P13'!Y17</f>
        <v>1159.71</v>
      </c>
      <c r="Z17" s="101">
        <f>SUM(B17:Y17)</f>
        <v>44595.519999999997</v>
      </c>
      <c r="AA17" s="101">
        <f>'P1'!AA17+'P2'!AA17+'P3'!AA17+'P4'!AA17+'P5'!AA17+'P6'!AA17+'P7'!AA17+'P8'!AA17+'P9'!AA17+'P10'!AA17+'P11'!AA17+'P12'!AA17+'P13'!AA17</f>
        <v>503.44</v>
      </c>
      <c r="AB17" s="93">
        <f>Z17+AA17</f>
        <v>45098.96</v>
      </c>
    </row>
    <row r="18" spans="1:28" ht="18" customHeight="1" thickBot="1" x14ac:dyDescent="0.3">
      <c r="A18" s="85" t="s">
        <v>20</v>
      </c>
      <c r="B18" s="89">
        <f>SUM(B14:B17)</f>
        <v>3117.5199999999995</v>
      </c>
      <c r="C18" s="89">
        <f t="shared" ref="C18:AB18" si="1">SUM(C14:C17)</f>
        <v>23209.1</v>
      </c>
      <c r="D18" s="89">
        <f t="shared" si="1"/>
        <v>14428.2</v>
      </c>
      <c r="E18" s="89">
        <f t="shared" si="1"/>
        <v>15659.02</v>
      </c>
      <c r="F18" s="89">
        <f t="shared" si="1"/>
        <v>9494.24</v>
      </c>
      <c r="G18" s="89">
        <f t="shared" si="1"/>
        <v>8162.9800000000014</v>
      </c>
      <c r="H18" s="89">
        <f t="shared" si="1"/>
        <v>11818.06</v>
      </c>
      <c r="I18" s="89">
        <f t="shared" si="1"/>
        <v>8230.59</v>
      </c>
      <c r="J18" s="89">
        <f t="shared" si="1"/>
        <v>13756.069999999998</v>
      </c>
      <c r="K18" s="89">
        <f t="shared" si="1"/>
        <v>8102.8899999999985</v>
      </c>
      <c r="L18" s="89">
        <f t="shared" si="1"/>
        <v>8268.869999999999</v>
      </c>
      <c r="M18" s="89">
        <f t="shared" si="1"/>
        <v>15146.25</v>
      </c>
      <c r="N18" s="89">
        <f t="shared" si="1"/>
        <v>28726.550000000003</v>
      </c>
      <c r="O18" s="89">
        <f t="shared" si="1"/>
        <v>14889.51</v>
      </c>
      <c r="P18" s="89">
        <f t="shared" si="1"/>
        <v>18863.55</v>
      </c>
      <c r="Q18" s="89">
        <f t="shared" si="1"/>
        <v>8645.59</v>
      </c>
      <c r="R18" s="89">
        <f t="shared" si="1"/>
        <v>19695.29</v>
      </c>
      <c r="S18" s="89">
        <f t="shared" si="1"/>
        <v>20294.110000000004</v>
      </c>
      <c r="T18" s="89">
        <f t="shared" si="1"/>
        <v>13697.15</v>
      </c>
      <c r="U18" s="89">
        <f t="shared" si="1"/>
        <v>11745.830000000002</v>
      </c>
      <c r="V18" s="89">
        <f t="shared" si="1"/>
        <v>18614.170000000002</v>
      </c>
      <c r="W18" s="89">
        <f t="shared" si="1"/>
        <v>14398.600000000002</v>
      </c>
      <c r="X18" s="89">
        <f t="shared" si="1"/>
        <v>9673.9999999999982</v>
      </c>
      <c r="Y18" s="89">
        <f t="shared" si="1"/>
        <v>12076.060000000001</v>
      </c>
      <c r="Z18" s="159">
        <f>SUM(Z14:Z17)</f>
        <v>330714.2</v>
      </c>
      <c r="AA18" s="159">
        <f>SUM(AA14:AA17)</f>
        <v>9100.68</v>
      </c>
      <c r="AB18" s="94">
        <f t="shared" si="1"/>
        <v>339814.88000000006</v>
      </c>
    </row>
    <row r="19" spans="1:28" ht="18" customHeight="1" thickBot="1" x14ac:dyDescent="0.3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1"/>
      <c r="AA19" s="109"/>
      <c r="AB19" s="93"/>
    </row>
    <row r="20" spans="1:28" ht="18" customHeight="1" thickBot="1" x14ac:dyDescent="0.3">
      <c r="A20" s="45" t="s">
        <v>21</v>
      </c>
      <c r="B20" s="39">
        <f>SUM(B11,B18)</f>
        <v>6934.84</v>
      </c>
      <c r="C20" s="39">
        <f t="shared" ref="C20:Y20" si="2">SUM(C11,C18)</f>
        <v>727732.61999999988</v>
      </c>
      <c r="D20" s="39">
        <f t="shared" si="2"/>
        <v>544048.84999999986</v>
      </c>
      <c r="E20" s="39">
        <f t="shared" si="2"/>
        <v>567668</v>
      </c>
      <c r="F20" s="39">
        <f t="shared" si="2"/>
        <v>452532.57</v>
      </c>
      <c r="G20" s="39">
        <f t="shared" si="2"/>
        <v>234100.53000000003</v>
      </c>
      <c r="H20" s="39">
        <f t="shared" si="2"/>
        <v>426234.72</v>
      </c>
      <c r="I20" s="39">
        <f t="shared" si="2"/>
        <v>284300.89000000007</v>
      </c>
      <c r="J20" s="39">
        <f t="shared" si="2"/>
        <v>478779.64</v>
      </c>
      <c r="K20" s="39">
        <f t="shared" si="2"/>
        <v>237822.79999999993</v>
      </c>
      <c r="L20" s="39">
        <f t="shared" si="2"/>
        <v>279889.18000000005</v>
      </c>
      <c r="M20" s="39">
        <f t="shared" si="2"/>
        <v>467114.79</v>
      </c>
      <c r="N20" s="39">
        <f t="shared" si="2"/>
        <v>769629.72</v>
      </c>
      <c r="O20" s="39">
        <f t="shared" si="2"/>
        <v>441907.38999999996</v>
      </c>
      <c r="P20" s="39">
        <f t="shared" si="2"/>
        <v>581668.18999999994</v>
      </c>
      <c r="Q20" s="39">
        <f t="shared" si="2"/>
        <v>339625.75999999995</v>
      </c>
      <c r="R20" s="39">
        <f t="shared" si="2"/>
        <v>535818.5</v>
      </c>
      <c r="S20" s="39">
        <f t="shared" si="2"/>
        <v>522770.24000000005</v>
      </c>
      <c r="T20" s="39">
        <f t="shared" si="2"/>
        <v>383813.87000000005</v>
      </c>
      <c r="U20" s="39">
        <f t="shared" si="2"/>
        <v>353047.78999999992</v>
      </c>
      <c r="V20" s="39">
        <f t="shared" si="2"/>
        <v>558479.81000000006</v>
      </c>
      <c r="W20" s="39">
        <f t="shared" si="2"/>
        <v>468826.98</v>
      </c>
      <c r="X20" s="39">
        <f t="shared" si="2"/>
        <v>368177.47000000003</v>
      </c>
      <c r="Y20" s="39">
        <f t="shared" si="2"/>
        <v>276414.52</v>
      </c>
      <c r="Z20" s="140">
        <f>Z11+Z18</f>
        <v>10307339.67</v>
      </c>
      <c r="AA20" s="141">
        <f>AA11+AA18</f>
        <v>263782.86</v>
      </c>
      <c r="AB20" s="142">
        <f>SUM(AB11,AB18)+2.5</f>
        <v>10571125.030000001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53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8"/>
    </row>
    <row r="24" spans="1:28" ht="18" customHeight="1" thickBot="1" x14ac:dyDescent="0.3"/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52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92</v>
      </c>
      <c r="B27" s="54">
        <v>0.105</v>
      </c>
      <c r="C27" s="54">
        <v>0.105</v>
      </c>
      <c r="D27" s="54">
        <v>0.10249999999999999</v>
      </c>
      <c r="E27" s="54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54">
        <v>0.105</v>
      </c>
      <c r="K27" s="54">
        <v>0.10249999999999999</v>
      </c>
      <c r="L27" s="54">
        <v>9.7500000000000003E-2</v>
      </c>
      <c r="M27" s="54">
        <v>9.7500000000000003E-2</v>
      </c>
      <c r="N27" s="54">
        <v>9.7500000000000003E-2</v>
      </c>
      <c r="O27" s="54">
        <v>9.2499999999999999E-2</v>
      </c>
      <c r="P27" s="54">
        <v>0.105</v>
      </c>
      <c r="Q27" s="54">
        <v>8.7499999999999994E-2</v>
      </c>
      <c r="R27" s="54">
        <v>9.7500000000000003E-2</v>
      </c>
      <c r="S27" s="54">
        <v>0.1075</v>
      </c>
      <c r="T27" s="54">
        <v>0.105</v>
      </c>
      <c r="U27" s="54">
        <v>0.105</v>
      </c>
      <c r="V27" s="54">
        <v>0.10249999999999999</v>
      </c>
      <c r="W27" s="54">
        <v>7.7499999999999999E-2</v>
      </c>
      <c r="X27" s="54">
        <v>9.7500000000000003E-2</v>
      </c>
      <c r="Y27" s="54">
        <v>8.7499999999999994E-2</v>
      </c>
      <c r="Z27" s="126"/>
      <c r="AA27" s="149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'P1'!B28+'P2'!B28+'P3'!B28+'P4'!B28+'P5'!B28+'P6'!B28</f>
        <v>1818.2262443438917</v>
      </c>
      <c r="C28" s="56">
        <f>'P1'!C28+'P2'!C28+'P3'!C28+'P4'!C28+'P5'!C28+'P6'!C28</f>
        <v>12658.208144796381</v>
      </c>
      <c r="D28" s="56">
        <f>'P1'!D28+'P2'!D28+'P3'!D28+'P4'!D28+'P5'!D28+'P6'!D28</f>
        <v>6247.0476190476193</v>
      </c>
      <c r="E28" s="56">
        <f>'P1'!E28+'P2'!E28+'P3'!E28+'P4'!E28+'P5'!E28+'P6'!E28</f>
        <v>7143.2760180995483</v>
      </c>
      <c r="F28" s="56">
        <f>'P1'!F28+'P2'!F28+'P3'!F28+'P4'!F28+'P5'!F28+'P6'!F28</f>
        <v>4122.7935034802786</v>
      </c>
      <c r="G28" s="56">
        <f>'P1'!G28+'P2'!G28+'P3'!G28+'P4'!G28+'P5'!G28+'P6'!G28</f>
        <v>4664.9373549884003</v>
      </c>
      <c r="H28" s="56">
        <f>'P1'!H28+'P2'!H28+'P3'!H28+'P4'!H28+'P5'!H28+'P6'!H28</f>
        <v>6079.016241299305</v>
      </c>
      <c r="I28" s="56">
        <f>'P1'!I28+'P2'!I28+'P3'!I28+'P4'!I28+'P5'!I28+'P6'!I28</f>
        <v>3651.3132250580047</v>
      </c>
      <c r="J28" s="56">
        <f>'P1'!J28+'P2'!J28+'P3'!J28+'P4'!J28+'P5'!J28+'P6'!J28</f>
        <v>6147.7647058823532</v>
      </c>
      <c r="K28" s="56">
        <f>'P1'!K28+'P2'!K28+'P3'!K28+'P4'!K28+'P5'!K28+'P6'!K28</f>
        <v>3734.3401360544221</v>
      </c>
      <c r="L28" s="56">
        <f>'P1'!L28+'P2'!L28+'P3'!L28+'P4'!L28+'P5'!L28+'P6'!L28</f>
        <v>3767.4350797266516</v>
      </c>
      <c r="M28" s="56">
        <f>'P1'!M28+'P2'!M28+'P3'!M28+'P4'!M28+'P5'!M28+'P6'!M28</f>
        <v>7503.4624145785883</v>
      </c>
      <c r="N28" s="56">
        <f>'P1'!N28+'P2'!N28+'P3'!N28+'P4'!N28+'P5'!N28+'P6'!N28</f>
        <v>18108.546697038724</v>
      </c>
      <c r="O28" s="56">
        <f>'P1'!O28+'P2'!O28+'P3'!O28+'P4'!O28+'P5'!O28+'P6'!O28</f>
        <v>7571.9542334096113</v>
      </c>
      <c r="P28" s="56">
        <f>'P1'!P28+'P2'!P28+'P3'!P28+'P4'!P28+'P5'!P28+'P6'!P28</f>
        <v>10439.212669683257</v>
      </c>
      <c r="Q28" s="56">
        <f>'P1'!Q28+'P2'!Q28+'P3'!Q28+'P4'!Q28+'P5'!Q28+'P6'!Q28</f>
        <v>4611.3747126436792</v>
      </c>
      <c r="R28" s="56">
        <f>'P1'!R28+'P2'!R28+'P3'!R28+'P4'!R28+'P5'!R28+'P6'!R28</f>
        <v>9506.98861047836</v>
      </c>
      <c r="S28" s="56">
        <f>'P1'!S28+'P2'!S28+'P3'!S28+'P4'!S28+'P5'!S28+'P6'!S28</f>
        <v>12067.367945823928</v>
      </c>
      <c r="T28" s="56">
        <f>'P1'!T28+'P2'!T28+'P3'!T28+'P4'!T28+'P5'!T28+'P6'!T28</f>
        <v>4656.9954751131227</v>
      </c>
      <c r="U28" s="56">
        <f>'P1'!U28+'P2'!U28+'P3'!U28+'P4'!U28+'P5'!U28+'P6'!U28</f>
        <v>4785.8552036199098</v>
      </c>
      <c r="V28" s="56">
        <f>'P1'!V28+'P2'!V28+'P3'!V28+'P4'!V28+'P5'!V28+'P6'!V28</f>
        <v>6767.3287981859403</v>
      </c>
      <c r="W28" s="56">
        <f>'P1'!W28+'P2'!W28+'P3'!W28+'P4'!W28+'P5'!W28+'P6'!W28</f>
        <v>7268.4825986078895</v>
      </c>
      <c r="X28" s="56">
        <f>'P1'!X28+'P2'!X28+'P3'!X28+'P4'!X28+'P5'!X28+'P6'!X28</f>
        <v>4581.3302961275631</v>
      </c>
      <c r="Y28" s="56">
        <f>'P1'!Y28+'P2'!Y28+'P3'!Y28+'P4'!Y28+'P5'!Y28+'P6'!Y28</f>
        <v>5690.372413793104</v>
      </c>
      <c r="Z28" s="135">
        <f>SUM(B28:Y28)</f>
        <v>163593.63034188058</v>
      </c>
      <c r="AA28" s="56">
        <f>'P1'!AA28+'P2'!AA28+'P3'!AA28+'P4'!AA28+'P5'!AA28+'P6'!AA28</f>
        <v>4775.1621904410404</v>
      </c>
      <c r="AB28" s="100">
        <f>Z28+AA28</f>
        <v>168368.79253232162</v>
      </c>
    </row>
    <row r="29" spans="1:28" ht="18" customHeight="1" thickBot="1" x14ac:dyDescent="0.3">
      <c r="A29" s="52" t="s">
        <v>63</v>
      </c>
      <c r="B29" s="56">
        <f>'P1'!B29+'P2'!B29+'P3'!B29+'P4'!B29+'P5'!B29+'P6'!B29</f>
        <v>190.91375565610858</v>
      </c>
      <c r="C29" s="56">
        <f>'P1'!C29+'P2'!C29+'P3'!C29+'P4'!C29+'P5'!C29+'P6'!C29</f>
        <v>1329.1118552036201</v>
      </c>
      <c r="D29" s="56">
        <f>'P1'!D29+'P2'!D29+'P3'!D29+'P4'!D29+'P5'!D29+'P6'!D29</f>
        <v>640.32238095238108</v>
      </c>
      <c r="E29" s="56">
        <f>'P1'!E29+'P2'!E29+'P3'!E29+'P4'!E29+'P5'!E29+'P6'!E29</f>
        <v>750.04398190045242</v>
      </c>
      <c r="F29" s="56">
        <f>'P1'!F29+'P2'!F29+'P3'!F29+'P4'!F29+'P5'!F29+'P6'!F29</f>
        <v>319.5164965197211</v>
      </c>
      <c r="G29" s="56">
        <f>'P1'!G29+'P2'!G29+'P3'!G29+'P4'!G29+'P5'!G29+'P6'!G29</f>
        <v>361.53264501160038</v>
      </c>
      <c r="H29" s="56">
        <f>'P1'!H29+'P2'!H29+'P3'!H29+'P4'!H29+'P5'!H29+'P6'!H29</f>
        <v>471.12375870069559</v>
      </c>
      <c r="I29" s="56">
        <f>'P1'!I29+'P2'!I29+'P3'!I29+'P4'!I29+'P5'!I29+'P6'!I29</f>
        <v>282.97677494199502</v>
      </c>
      <c r="J29" s="56">
        <f>'P1'!J29+'P2'!J29+'P3'!J29+'P4'!J29+'P5'!J29+'P6'!J29</f>
        <v>645.51529411764693</v>
      </c>
      <c r="K29" s="56">
        <f>'P1'!K29+'P2'!K29+'P3'!K29+'P4'!K29+'P5'!K29+'P6'!K29</f>
        <v>382.76986394557838</v>
      </c>
      <c r="L29" s="56">
        <f>'P1'!L29+'P2'!L29+'P3'!L29+'P4'!L29+'P5'!L29+'P6'!L29</f>
        <v>367.32492027334831</v>
      </c>
      <c r="M29" s="56">
        <f>'P1'!M29+'P2'!M29+'P3'!M29+'P4'!M29+'P5'!M29+'P6'!M29</f>
        <v>731.58758542141186</v>
      </c>
      <c r="N29" s="56">
        <f>'P1'!N29+'P2'!N29+'P3'!N29+'P4'!N29+'P5'!N29+'P6'!N29</f>
        <v>1765.5833029612747</v>
      </c>
      <c r="O29" s="56">
        <f>'P1'!O29+'P2'!O29+'P3'!O29+'P4'!O29+'P5'!O29+'P6'!O29</f>
        <v>700.40576659038925</v>
      </c>
      <c r="P29" s="56">
        <f>'P1'!P29+'P2'!P29+'P3'!P29+'P4'!P29+'P5'!P29+'P6'!P29</f>
        <v>1096.117330316742</v>
      </c>
      <c r="Q29" s="56">
        <f>'P1'!Q29+'P2'!Q29+'P3'!Q29+'P4'!Q29+'P5'!Q29+'P6'!Q29</f>
        <v>403.49528735632157</v>
      </c>
      <c r="R29" s="56">
        <f>'P1'!R29+'P2'!R29+'P3'!R29+'P4'!R29+'P5'!R29+'P6'!R29</f>
        <v>926.93138952163963</v>
      </c>
      <c r="S29" s="56">
        <f>'P1'!S29+'P2'!S29+'P3'!S29+'P4'!S29+'P5'!S29+'P6'!S29</f>
        <v>1297.2420541760714</v>
      </c>
      <c r="T29" s="56">
        <f>'P1'!T29+'P2'!T29+'P3'!T29+'P4'!T29+'P5'!T29+'P6'!T29</f>
        <v>488.98452488687781</v>
      </c>
      <c r="U29" s="56">
        <f>'P1'!U29+'P2'!U29+'P3'!U29+'P4'!U29+'P5'!U29+'P6'!U29</f>
        <v>502.51479638009039</v>
      </c>
      <c r="V29" s="56">
        <f>'P1'!V29+'P2'!V29+'P3'!V29+'P4'!V29+'P5'!V29+'P6'!V29</f>
        <v>693.65120181405928</v>
      </c>
      <c r="W29" s="56">
        <f>'P1'!W29+'P2'!W29+'P3'!W29+'P4'!W29+'P5'!W29+'P6'!W29</f>
        <v>563.30740139211059</v>
      </c>
      <c r="X29" s="56">
        <f>'P1'!X29+'P2'!X29+'P3'!X29+'P4'!X29+'P5'!X29+'P6'!X29</f>
        <v>446.67970387243696</v>
      </c>
      <c r="Y29" s="56">
        <f>'P1'!Y29+'P2'!Y29+'P3'!Y29+'P4'!Y29+'P5'!Y29+'P6'!Y29</f>
        <v>497.90758620689599</v>
      </c>
      <c r="Z29" s="135">
        <f>SUM(B29:Y29)+2.51</f>
        <v>15858.069658119466</v>
      </c>
      <c r="AA29" s="56">
        <f>'P1'!AA29+'P2'!AA29+'P3'!AA29+'P4'!AA29+'P5'!AA29+'P6'!AA29-0.01</f>
        <v>400.26780955895947</v>
      </c>
      <c r="AB29" s="100">
        <f>Z29+AA29</f>
        <v>16258.337467678426</v>
      </c>
    </row>
    <row r="30" spans="1:28" ht="18" customHeight="1" thickBot="1" x14ac:dyDescent="0.3">
      <c r="A30" s="49"/>
      <c r="B30" s="129">
        <f>B28+B29</f>
        <v>2009.1400000000003</v>
      </c>
      <c r="C30" s="129">
        <f t="shared" ref="C30:AA30" si="3">C28+C29</f>
        <v>13987.320000000002</v>
      </c>
      <c r="D30" s="129">
        <f t="shared" si="3"/>
        <v>6887.3700000000008</v>
      </c>
      <c r="E30" s="129">
        <f t="shared" si="3"/>
        <v>7893.3200000000006</v>
      </c>
      <c r="F30" s="129">
        <f t="shared" si="3"/>
        <v>4442.3099999999995</v>
      </c>
      <c r="G30" s="129">
        <f t="shared" si="3"/>
        <v>5026.4700000000012</v>
      </c>
      <c r="H30" s="129">
        <f t="shared" si="3"/>
        <v>6550.14</v>
      </c>
      <c r="I30" s="129">
        <f t="shared" si="3"/>
        <v>3934.29</v>
      </c>
      <c r="J30" s="129">
        <f t="shared" si="3"/>
        <v>6793.28</v>
      </c>
      <c r="K30" s="129">
        <f t="shared" si="3"/>
        <v>4117.1100000000006</v>
      </c>
      <c r="L30" s="129">
        <f t="shared" si="3"/>
        <v>4134.76</v>
      </c>
      <c r="M30" s="129">
        <f t="shared" si="3"/>
        <v>8235.0499999999993</v>
      </c>
      <c r="N30" s="129">
        <f t="shared" si="3"/>
        <v>19874.129999999997</v>
      </c>
      <c r="O30" s="129">
        <f t="shared" si="3"/>
        <v>8272.36</v>
      </c>
      <c r="P30" s="129">
        <f t="shared" si="3"/>
        <v>11535.329999999998</v>
      </c>
      <c r="Q30" s="129">
        <f t="shared" si="3"/>
        <v>5014.8700000000008</v>
      </c>
      <c r="R30" s="129">
        <f t="shared" si="3"/>
        <v>10433.92</v>
      </c>
      <c r="S30" s="129">
        <f t="shared" si="3"/>
        <v>13364.609999999999</v>
      </c>
      <c r="T30" s="129">
        <f t="shared" si="3"/>
        <v>5145.9800000000005</v>
      </c>
      <c r="U30" s="129">
        <f t="shared" si="3"/>
        <v>5288.37</v>
      </c>
      <c r="V30" s="129">
        <f t="shared" si="3"/>
        <v>7460.98</v>
      </c>
      <c r="W30" s="129">
        <f t="shared" si="3"/>
        <v>7831.79</v>
      </c>
      <c r="X30" s="129">
        <f t="shared" si="3"/>
        <v>5028.01</v>
      </c>
      <c r="Y30" s="129">
        <f t="shared" si="3"/>
        <v>6188.28</v>
      </c>
      <c r="Z30" s="130">
        <f>Z28+Z29</f>
        <v>179451.70000000004</v>
      </c>
      <c r="AA30" s="160">
        <f t="shared" si="3"/>
        <v>5175.43</v>
      </c>
      <c r="AB30" s="132">
        <f>SUM(AB28:AB29)</f>
        <v>184627.13000000003</v>
      </c>
    </row>
    <row r="31" spans="1:28" ht="18" customHeight="1" x14ac:dyDescent="0.25">
      <c r="R31" s="56"/>
    </row>
    <row r="32" spans="1:28" ht="18" customHeight="1" x14ac:dyDescent="0.25">
      <c r="R32" s="56"/>
    </row>
    <row r="33" spans="1:19" ht="18" customHeight="1" thickBot="1" x14ac:dyDescent="0.3">
      <c r="R33" s="56"/>
    </row>
    <row r="34" spans="1:19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19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19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19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67" t="s">
        <v>72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79</v>
      </c>
      <c r="N37" s="68" t="s">
        <v>82</v>
      </c>
      <c r="O37" s="69" t="s">
        <v>80</v>
      </c>
      <c r="P37" s="86" t="s">
        <v>83</v>
      </c>
      <c r="Q37" s="31" t="s">
        <v>85</v>
      </c>
      <c r="R37" s="146" t="s">
        <v>87</v>
      </c>
    </row>
    <row r="38" spans="1:19" ht="18" customHeight="1" x14ac:dyDescent="0.25">
      <c r="A38" s="70" t="s">
        <v>62</v>
      </c>
      <c r="B38" s="71">
        <f>'P1'!B38+'P2'!B38+'P3'!B38+'P4'!B38+'P5'!B38</f>
        <v>6044.4269141531331</v>
      </c>
      <c r="C38" s="71">
        <f>'P1'!C38+'P2'!C38+'P3'!C38+'P4'!C38+'P5'!C38</f>
        <v>3792.7653758542147</v>
      </c>
      <c r="D38" s="71">
        <f>'P1'!D38+'P2'!D38+'P3'!D38+'P4'!D38+'P5'!D38</f>
        <v>4193.4988505747133</v>
      </c>
      <c r="E38" s="71">
        <f>'P1'!E38+'P2'!E38+'P3'!E38+'P4'!E38+'P5'!E38</f>
        <v>10767.169300225734</v>
      </c>
      <c r="F38" s="71">
        <f>'P1'!F38+'P2'!F38+'P3'!F38+'P4'!F38+'P5'!F38</f>
        <v>36518.460136674257</v>
      </c>
      <c r="G38" s="71">
        <f>'P1'!G38+'P2'!G38+'P3'!G38+'P4'!G38+'P5'!G38</f>
        <v>8776.0090497737547</v>
      </c>
      <c r="H38" s="71">
        <f>'P1'!H38+'P2'!H38+'P3'!H38+'P4'!H38+'P5'!H38</f>
        <v>3557.6018099547514</v>
      </c>
      <c r="I38" s="71">
        <f>'P1'!I38+'P2'!I38+'P3'!I38+'P4'!I38+'P5'!I38</f>
        <v>4698.775510204081</v>
      </c>
      <c r="J38" s="71">
        <f>'P1'!J38+'P2'!J38+'P3'!J38+'P4'!J38+'P5'!J38</f>
        <v>8917.0769230769238</v>
      </c>
      <c r="K38" s="71">
        <f>'P1'!K38+'P2'!K38+'P3'!K38+'P4'!K38+'P5'!K38</f>
        <v>4743.6247139588104</v>
      </c>
      <c r="L38" s="71">
        <f>'P1'!L38+'P2'!L38+'P3'!L38+'P4'!L38+'P5'!L38</f>
        <v>5281.9457013574665</v>
      </c>
      <c r="M38" s="71">
        <f>'P1'!M38+'P2'!M38+'P3'!M38+'P4'!M38+'P5'!M38</f>
        <v>6744.6425339366515</v>
      </c>
      <c r="N38" s="71">
        <f>'P1'!N38+'P2'!N38+'P3'!N38+'P4'!N38+'P5'!N38</f>
        <v>4071.3303167420818</v>
      </c>
      <c r="O38" s="71">
        <f>'P1'!O38+'P2'!O38+'P3'!O38+'P4'!O38+'P5'!O38</f>
        <v>8102.2675736961446</v>
      </c>
      <c r="P38" s="71">
        <f>'P1'!P38+'P2'!P38+'P3'!P38+'P4'!P38+'P5'!P38</f>
        <v>4743.3287356321844</v>
      </c>
      <c r="Q38" s="71">
        <f>'P1'!Q38+'P2'!Q38+'P3'!Q38+'P4'!Q38+'P5'!Q38</f>
        <v>120952.43344581491</v>
      </c>
      <c r="R38" s="71">
        <f>'P1'!R38+'P2'!R38+'P3'!R38+'P4'!R38+'P5'!R38</f>
        <v>3972.3756984683519</v>
      </c>
    </row>
    <row r="39" spans="1:19" s="54" customFormat="1" ht="18" customHeight="1" x14ac:dyDescent="0.25">
      <c r="A39" s="74" t="s">
        <v>92</v>
      </c>
      <c r="B39" s="75">
        <v>7.7499999999999999E-2</v>
      </c>
      <c r="C39" s="76">
        <v>7.7499999999999999E-2</v>
      </c>
      <c r="D39" s="76">
        <v>8.7499999999999994E-2</v>
      </c>
      <c r="E39" s="76">
        <v>0.1075</v>
      </c>
      <c r="F39" s="76">
        <v>9.5000000000000001E-2</v>
      </c>
      <c r="G39" s="76">
        <v>0.1</v>
      </c>
      <c r="H39" s="76">
        <v>0.1</v>
      </c>
      <c r="I39" s="76">
        <v>0.1</v>
      </c>
      <c r="J39" s="76">
        <v>0.10249999999999999</v>
      </c>
      <c r="K39" s="76">
        <v>9.2499999999999999E-2</v>
      </c>
      <c r="L39" s="76">
        <v>0.10249999999999999</v>
      </c>
      <c r="M39" s="76">
        <v>0.10249999999999999</v>
      </c>
      <c r="N39" s="76">
        <v>0.10249999999999999</v>
      </c>
      <c r="O39" s="77">
        <v>0.1</v>
      </c>
      <c r="P39" s="76">
        <v>8.7499999999999994E-2</v>
      </c>
      <c r="Q39" s="42"/>
      <c r="R39" s="147">
        <v>8.3799999999999999E-2</v>
      </c>
    </row>
    <row r="40" spans="1:19" s="54" customFormat="1" ht="18" customHeight="1" thickBot="1" x14ac:dyDescent="0.3">
      <c r="A40" s="78" t="s">
        <v>81</v>
      </c>
      <c r="B40" s="79">
        <f>'P1'!B40+'P2'!B40+'P3'!B40+'P4'!B40+'P5'!B40</f>
        <v>468.4430858468678</v>
      </c>
      <c r="C40" s="79">
        <f>'P1'!C40+'P2'!C40+'P3'!C40+'P4'!C40+'P5'!C40</f>
        <v>293.93931662870165</v>
      </c>
      <c r="D40" s="79">
        <f>'P1'!D40+'P2'!D40+'P3'!D40+'P4'!D40+'P5'!D40</f>
        <v>366.93114942528734</v>
      </c>
      <c r="E40" s="79">
        <f>'P1'!E40+'P2'!E40+'P3'!E40+'P4'!E40+'P5'!E40</f>
        <v>1157.4706997742664</v>
      </c>
      <c r="F40" s="79">
        <f>'P1'!F40+'P2'!F40+'P3'!F40+'P4'!F40+'P5'!F40</f>
        <v>3560.5498633257403</v>
      </c>
      <c r="G40" s="79">
        <f>'P1'!G40+'P2'!G40+'P3'!G40+'P4'!G40+'P5'!G40</f>
        <v>921.4809502262442</v>
      </c>
      <c r="H40" s="79">
        <f>'P1'!H40+'P2'!H40+'P3'!H40+'P4'!H40+'P5'!H40</f>
        <v>373.54819004524882</v>
      </c>
      <c r="I40" s="79">
        <f>'P1'!I40+'P2'!I40+'P3'!I40+'P4'!I40+'P5'!I40</f>
        <v>481.62448979591829</v>
      </c>
      <c r="J40" s="79">
        <f>'P1'!J40+'P2'!J40+'P3'!J40+'P4'!J40+'P5'!J40</f>
        <v>936.29307692307691</v>
      </c>
      <c r="K40" s="79">
        <f>'P1'!K40+'P2'!K40+'P3'!K40+'P4'!K40+'P5'!K40</f>
        <v>438.78528604118992</v>
      </c>
      <c r="L40" s="79">
        <f>'P1'!L40+'P2'!L40+'P3'!L40+'P4'!L40+'P5'!L40</f>
        <v>554.60429864253399</v>
      </c>
      <c r="M40" s="79">
        <f>'P1'!M40+'P2'!M40+'P3'!M40+'P4'!M40+'P5'!M40</f>
        <v>708.18746606334844</v>
      </c>
      <c r="N40" s="79">
        <f>'P1'!N40+'P2'!N40+'P3'!N40+'P4'!N40+'P5'!N40</f>
        <v>427.48968325791856</v>
      </c>
      <c r="O40" s="79">
        <f>'P1'!O40+'P2'!O40+'P3'!O40+'P4'!O40+'P5'!O40</f>
        <v>830.48242630385482</v>
      </c>
      <c r="P40" s="79">
        <f>'P1'!P40+'P2'!P40+'P3'!P40+'P4'!P40+'P5'!P40</f>
        <v>415.0412643678161</v>
      </c>
      <c r="Q40" s="79">
        <f>'P1'!Q40+'P2'!Q40+'P3'!Q40+'P4'!Q40+'P5'!Q40</f>
        <v>11935.361246668015</v>
      </c>
      <c r="R40" s="79">
        <f>'P1'!R40+'P2'!R40+'P3'!R40+'P4'!R40+'P5'!R40</f>
        <v>332.9050835316479</v>
      </c>
    </row>
    <row r="41" spans="1:19" ht="18" customHeight="1" thickBot="1" x14ac:dyDescent="0.3">
      <c r="A41" s="49" t="s">
        <v>4</v>
      </c>
      <c r="B41" s="82">
        <f>B38+B40</f>
        <v>6512.8700000000008</v>
      </c>
      <c r="C41" s="83">
        <f t="shared" ref="C41:R41" si="4">C38+C40</f>
        <v>4086.7046924829165</v>
      </c>
      <c r="D41" s="83">
        <f t="shared" si="4"/>
        <v>4560.43</v>
      </c>
      <c r="E41" s="83">
        <f t="shared" si="4"/>
        <v>11924.640000000001</v>
      </c>
      <c r="F41" s="83">
        <f t="shared" si="4"/>
        <v>40079.009999999995</v>
      </c>
      <c r="G41" s="83">
        <f t="shared" si="4"/>
        <v>9697.489999999998</v>
      </c>
      <c r="H41" s="83">
        <f t="shared" si="4"/>
        <v>3931.15</v>
      </c>
      <c r="I41" s="83">
        <f t="shared" si="4"/>
        <v>5180.3999999999996</v>
      </c>
      <c r="J41" s="83">
        <f t="shared" si="4"/>
        <v>9853.3700000000008</v>
      </c>
      <c r="K41" s="83">
        <f t="shared" si="4"/>
        <v>5182.41</v>
      </c>
      <c r="L41" s="83">
        <f t="shared" si="4"/>
        <v>5836.55</v>
      </c>
      <c r="M41" s="83">
        <f t="shared" si="4"/>
        <v>7452.83</v>
      </c>
      <c r="N41" s="83">
        <f t="shared" si="4"/>
        <v>4498.8200000000006</v>
      </c>
      <c r="O41" s="84">
        <f t="shared" si="4"/>
        <v>8932.75</v>
      </c>
      <c r="P41" s="83">
        <f t="shared" si="4"/>
        <v>5158.3700000000008</v>
      </c>
      <c r="Q41" s="85">
        <f>SUM(B41:P41)</f>
        <v>132887.79469248292</v>
      </c>
      <c r="R41" s="148">
        <f t="shared" si="4"/>
        <v>4305.2807819999998</v>
      </c>
    </row>
  </sheetData>
  <pageMargins left="0.25" right="0" top="0.25" bottom="0" header="0.3" footer="0.3"/>
  <pageSetup scale="47" orientation="landscape" r:id="rId1"/>
  <colBreaks count="1" manualBreakCount="1">
    <brk id="15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64233-A6B5-459A-AC4B-C5B08D2D795B}">
  <sheetPr>
    <tabColor theme="9" tint="0.39997558519241921"/>
    <pageSetUpPr fitToPage="1"/>
  </sheetPr>
  <dimension ref="A1:AB41"/>
  <sheetViews>
    <sheetView zoomScale="90" zoomScaleNormal="90" workbookViewId="0">
      <selection activeCell="AA28" sqref="AA28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108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101">
        <f>SUM(B7:Y7)</f>
        <v>0</v>
      </c>
      <c r="AA7" s="109"/>
      <c r="AB7" s="93">
        <f>Z7+AA7</f>
        <v>0</v>
      </c>
    </row>
    <row r="8" spans="1:28" ht="17.25" customHeight="1" x14ac:dyDescent="0.25">
      <c r="A8" s="35" t="s">
        <v>6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101">
        <f>SUM(B8:Y8)</f>
        <v>0</v>
      </c>
      <c r="AA8" s="109"/>
      <c r="AB8" s="93">
        <f>Z8+AA8</f>
        <v>0</v>
      </c>
    </row>
    <row r="9" spans="1:28" ht="18" customHeight="1" x14ac:dyDescent="0.25">
      <c r="A9" s="35" t="s">
        <v>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101">
        <f>SUM(B9:Y9)</f>
        <v>0</v>
      </c>
      <c r="AA9" s="109"/>
      <c r="AB9" s="93">
        <f>Z9+AA9</f>
        <v>0</v>
      </c>
    </row>
    <row r="10" spans="1:28" ht="18" customHeight="1" thickBot="1" x14ac:dyDescent="0.3">
      <c r="A10" s="35" t="s">
        <v>7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101">
        <f>SUM(B10:Y10)</f>
        <v>0</v>
      </c>
      <c r="AA10" s="109"/>
      <c r="AB10" s="93">
        <f>Z10+AA10</f>
        <v>0</v>
      </c>
    </row>
    <row r="11" spans="1:28" ht="18" customHeight="1" thickBot="1" x14ac:dyDescent="0.3">
      <c r="A11" s="49" t="s">
        <v>19</v>
      </c>
      <c r="B11" s="89">
        <f>SUM(B7:B10)</f>
        <v>0</v>
      </c>
      <c r="C11" s="89">
        <f t="shared" ref="C11:X11" si="0">SUM(C7:C10)</f>
        <v>0</v>
      </c>
      <c r="D11" s="89">
        <f t="shared" si="0"/>
        <v>0</v>
      </c>
      <c r="E11" s="89">
        <f t="shared" si="0"/>
        <v>0</v>
      </c>
      <c r="F11" s="89">
        <f t="shared" si="0"/>
        <v>0</v>
      </c>
      <c r="G11" s="89">
        <f t="shared" si="0"/>
        <v>0</v>
      </c>
      <c r="H11" s="89">
        <f t="shared" si="0"/>
        <v>0</v>
      </c>
      <c r="I11" s="89">
        <f t="shared" si="0"/>
        <v>0</v>
      </c>
      <c r="J11" s="89">
        <f t="shared" si="0"/>
        <v>0</v>
      </c>
      <c r="K11" s="89">
        <f t="shared" si="0"/>
        <v>0</v>
      </c>
      <c r="L11" s="89">
        <f t="shared" si="0"/>
        <v>0</v>
      </c>
      <c r="M11" s="89">
        <f t="shared" si="0"/>
        <v>0</v>
      </c>
      <c r="N11" s="89">
        <f t="shared" si="0"/>
        <v>0</v>
      </c>
      <c r="O11" s="89">
        <f t="shared" si="0"/>
        <v>0</v>
      </c>
      <c r="P11" s="89">
        <f t="shared" si="0"/>
        <v>0</v>
      </c>
      <c r="Q11" s="89">
        <f t="shared" si="0"/>
        <v>0</v>
      </c>
      <c r="R11" s="89">
        <f t="shared" si="0"/>
        <v>0</v>
      </c>
      <c r="S11" s="89">
        <f t="shared" si="0"/>
        <v>0</v>
      </c>
      <c r="T11" s="89">
        <f t="shared" si="0"/>
        <v>0</v>
      </c>
      <c r="U11" s="89">
        <f t="shared" si="0"/>
        <v>0</v>
      </c>
      <c r="V11" s="89">
        <f t="shared" si="0"/>
        <v>0</v>
      </c>
      <c r="W11" s="89">
        <f t="shared" si="0"/>
        <v>0</v>
      </c>
      <c r="X11" s="89">
        <f t="shared" si="0"/>
        <v>0</v>
      </c>
      <c r="Y11" s="89">
        <f>SUM(Y7:Y10)</f>
        <v>0</v>
      </c>
      <c r="Z11" s="140">
        <f>SUM(Z7:Z10)</f>
        <v>0</v>
      </c>
      <c r="AA11" s="141">
        <f>SUM(AA7:AA10)</f>
        <v>0</v>
      </c>
      <c r="AB11" s="142">
        <f>SUM(AB7:AB10)</f>
        <v>0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101">
        <f>SUM(B14:Y14)</f>
        <v>0</v>
      </c>
      <c r="AA14" s="109"/>
      <c r="AB14" s="93">
        <f>Z14+AA14</f>
        <v>0</v>
      </c>
    </row>
    <row r="15" spans="1:28" ht="18" customHeight="1" x14ac:dyDescent="0.25">
      <c r="A15" s="35" t="s">
        <v>8</v>
      </c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101">
        <f>SUM(B15:Y15)</f>
        <v>0</v>
      </c>
      <c r="AA15" s="109"/>
      <c r="AB15" s="93">
        <f>Z15+AA15</f>
        <v>0</v>
      </c>
    </row>
    <row r="16" spans="1:28" ht="18" customHeight="1" x14ac:dyDescent="0.25">
      <c r="A16" s="35" t="s">
        <v>13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101">
        <f>SUM(B16:Y16)</f>
        <v>0</v>
      </c>
      <c r="AA16" s="109"/>
      <c r="AB16" s="93">
        <f>Z16+AA16</f>
        <v>0</v>
      </c>
    </row>
    <row r="17" spans="1:28" ht="18" customHeight="1" thickBot="1" x14ac:dyDescent="0.3">
      <c r="A17" s="35" t="s">
        <v>22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101">
        <f>SUM(B17:Y17)</f>
        <v>0</v>
      </c>
      <c r="AA17" s="109"/>
      <c r="AB17" s="93">
        <f>Z17+AA17</f>
        <v>0</v>
      </c>
    </row>
    <row r="18" spans="1:28" ht="18" customHeight="1" thickBot="1" x14ac:dyDescent="0.3">
      <c r="A18" s="85" t="s">
        <v>20</v>
      </c>
      <c r="B18" s="89">
        <f>SUM(B14:B17)</f>
        <v>0</v>
      </c>
      <c r="C18" s="89">
        <f t="shared" ref="C18:AB18" si="1">SUM(C14:C17)</f>
        <v>0</v>
      </c>
      <c r="D18" s="89">
        <f t="shared" si="1"/>
        <v>0</v>
      </c>
      <c r="E18" s="89">
        <f t="shared" si="1"/>
        <v>0</v>
      </c>
      <c r="F18" s="89">
        <f t="shared" si="1"/>
        <v>0</v>
      </c>
      <c r="G18" s="89">
        <f t="shared" si="1"/>
        <v>0</v>
      </c>
      <c r="H18" s="89">
        <f t="shared" si="1"/>
        <v>0</v>
      </c>
      <c r="I18" s="89">
        <f t="shared" si="1"/>
        <v>0</v>
      </c>
      <c r="J18" s="89">
        <f t="shared" si="1"/>
        <v>0</v>
      </c>
      <c r="K18" s="89">
        <f t="shared" si="1"/>
        <v>0</v>
      </c>
      <c r="L18" s="89">
        <f t="shared" si="1"/>
        <v>0</v>
      </c>
      <c r="M18" s="89">
        <f t="shared" si="1"/>
        <v>0</v>
      </c>
      <c r="N18" s="89">
        <f t="shared" si="1"/>
        <v>0</v>
      </c>
      <c r="O18" s="89">
        <f t="shared" si="1"/>
        <v>0</v>
      </c>
      <c r="P18" s="89">
        <f t="shared" si="1"/>
        <v>0</v>
      </c>
      <c r="Q18" s="89">
        <f t="shared" si="1"/>
        <v>0</v>
      </c>
      <c r="R18" s="89">
        <f t="shared" si="1"/>
        <v>0</v>
      </c>
      <c r="S18" s="89">
        <f t="shared" si="1"/>
        <v>0</v>
      </c>
      <c r="T18" s="89">
        <f t="shared" si="1"/>
        <v>0</v>
      </c>
      <c r="U18" s="89">
        <f t="shared" si="1"/>
        <v>0</v>
      </c>
      <c r="V18" s="89">
        <f t="shared" si="1"/>
        <v>0</v>
      </c>
      <c r="W18" s="89">
        <f t="shared" si="1"/>
        <v>0</v>
      </c>
      <c r="X18" s="89">
        <f t="shared" si="1"/>
        <v>0</v>
      </c>
      <c r="Y18" s="89">
        <f t="shared" si="1"/>
        <v>0</v>
      </c>
      <c r="Z18" s="102">
        <f>SUM(Z14:Z17)</f>
        <v>0</v>
      </c>
      <c r="AA18" s="102">
        <f>SUM(AA14:AA17)</f>
        <v>0</v>
      </c>
      <c r="AB18" s="94">
        <f t="shared" si="1"/>
        <v>0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0</v>
      </c>
      <c r="C20" s="39">
        <f t="shared" ref="C20:AB20" si="2">SUM(C11,C18)</f>
        <v>0</v>
      </c>
      <c r="D20" s="39">
        <f t="shared" si="2"/>
        <v>0</v>
      </c>
      <c r="E20" s="39">
        <f t="shared" si="2"/>
        <v>0</v>
      </c>
      <c r="F20" s="39">
        <f t="shared" si="2"/>
        <v>0</v>
      </c>
      <c r="G20" s="39">
        <f t="shared" si="2"/>
        <v>0</v>
      </c>
      <c r="H20" s="39">
        <f t="shared" si="2"/>
        <v>0</v>
      </c>
      <c r="I20" s="39">
        <f t="shared" si="2"/>
        <v>0</v>
      </c>
      <c r="J20" s="39">
        <f t="shared" si="2"/>
        <v>0</v>
      </c>
      <c r="K20" s="39">
        <f t="shared" si="2"/>
        <v>0</v>
      </c>
      <c r="L20" s="39">
        <f t="shared" si="2"/>
        <v>0</v>
      </c>
      <c r="M20" s="39">
        <f t="shared" si="2"/>
        <v>0</v>
      </c>
      <c r="N20" s="39">
        <f t="shared" si="2"/>
        <v>0</v>
      </c>
      <c r="O20" s="39">
        <f t="shared" si="2"/>
        <v>0</v>
      </c>
      <c r="P20" s="39">
        <f t="shared" si="2"/>
        <v>0</v>
      </c>
      <c r="Q20" s="39">
        <f t="shared" si="2"/>
        <v>0</v>
      </c>
      <c r="R20" s="39">
        <f t="shared" si="2"/>
        <v>0</v>
      </c>
      <c r="S20" s="39">
        <f t="shared" si="2"/>
        <v>0</v>
      </c>
      <c r="T20" s="39">
        <f t="shared" si="2"/>
        <v>0</v>
      </c>
      <c r="U20" s="39">
        <f t="shared" si="2"/>
        <v>0</v>
      </c>
      <c r="V20" s="39">
        <f t="shared" si="2"/>
        <v>0</v>
      </c>
      <c r="W20" s="39">
        <f t="shared" si="2"/>
        <v>0</v>
      </c>
      <c r="X20" s="39">
        <f t="shared" si="2"/>
        <v>0</v>
      </c>
      <c r="Y20" s="39">
        <f t="shared" si="2"/>
        <v>0</v>
      </c>
      <c r="Z20" s="139">
        <f>Z11+Z18</f>
        <v>0</v>
      </c>
      <c r="AA20" s="143">
        <f>AA11+AA18</f>
        <v>0</v>
      </c>
      <c r="AB20" s="136">
        <f t="shared" si="2"/>
        <v>0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B18/(100%+B$27)</f>
        <v>0</v>
      </c>
      <c r="C28" s="56">
        <f t="shared" ref="C28:AA28" si="3">C18/(100%+C$27)</f>
        <v>0</v>
      </c>
      <c r="D28" s="56">
        <f t="shared" si="3"/>
        <v>0</v>
      </c>
      <c r="E28" s="56">
        <f t="shared" si="3"/>
        <v>0</v>
      </c>
      <c r="F28" s="56">
        <f t="shared" si="3"/>
        <v>0</v>
      </c>
      <c r="G28" s="56">
        <f t="shared" si="3"/>
        <v>0</v>
      </c>
      <c r="H28" s="56">
        <f t="shared" si="3"/>
        <v>0</v>
      </c>
      <c r="I28" s="56">
        <f t="shared" si="3"/>
        <v>0</v>
      </c>
      <c r="J28" s="56">
        <f t="shared" si="3"/>
        <v>0</v>
      </c>
      <c r="K28" s="56">
        <f t="shared" si="3"/>
        <v>0</v>
      </c>
      <c r="L28" s="56">
        <f t="shared" si="3"/>
        <v>0</v>
      </c>
      <c r="M28" s="56">
        <f t="shared" si="3"/>
        <v>0</v>
      </c>
      <c r="N28" s="56">
        <f t="shared" si="3"/>
        <v>0</v>
      </c>
      <c r="O28" s="56">
        <f t="shared" si="3"/>
        <v>0</v>
      </c>
      <c r="P28" s="56">
        <f t="shared" si="3"/>
        <v>0</v>
      </c>
      <c r="Q28" s="56">
        <f t="shared" si="3"/>
        <v>0</v>
      </c>
      <c r="R28" s="56">
        <f t="shared" si="3"/>
        <v>0</v>
      </c>
      <c r="S28" s="56">
        <f t="shared" si="3"/>
        <v>0</v>
      </c>
      <c r="T28" s="56">
        <f t="shared" si="3"/>
        <v>0</v>
      </c>
      <c r="U28" s="56">
        <f t="shared" si="3"/>
        <v>0</v>
      </c>
      <c r="V28" s="56">
        <f t="shared" si="3"/>
        <v>0</v>
      </c>
      <c r="W28" s="56">
        <f t="shared" si="3"/>
        <v>0</v>
      </c>
      <c r="X28" s="56">
        <f t="shared" si="3"/>
        <v>0</v>
      </c>
      <c r="Y28" s="56">
        <f t="shared" si="3"/>
        <v>0</v>
      </c>
      <c r="Z28" s="127">
        <f>SUM(B28:Y28)</f>
        <v>0</v>
      </c>
      <c r="AA28" s="128">
        <f t="shared" si="3"/>
        <v>0</v>
      </c>
      <c r="AB28" s="100">
        <f>Z28+AA28</f>
        <v>0</v>
      </c>
    </row>
    <row r="29" spans="1:28" ht="18" customHeight="1" thickBot="1" x14ac:dyDescent="0.3">
      <c r="A29" s="52" t="s">
        <v>63</v>
      </c>
      <c r="B29" s="56">
        <f>B18-B28</f>
        <v>0</v>
      </c>
      <c r="C29" s="56">
        <f t="shared" ref="C29:Y29" si="4">C18-C28</f>
        <v>0</v>
      </c>
      <c r="D29" s="56">
        <f t="shared" si="4"/>
        <v>0</v>
      </c>
      <c r="E29" s="56">
        <f t="shared" si="4"/>
        <v>0</v>
      </c>
      <c r="F29" s="56">
        <f t="shared" si="4"/>
        <v>0</v>
      </c>
      <c r="G29" s="56">
        <f t="shared" si="4"/>
        <v>0</v>
      </c>
      <c r="H29" s="56">
        <f t="shared" si="4"/>
        <v>0</v>
      </c>
      <c r="I29" s="56">
        <f t="shared" si="4"/>
        <v>0</v>
      </c>
      <c r="J29" s="56">
        <f t="shared" si="4"/>
        <v>0</v>
      </c>
      <c r="K29" s="56">
        <f t="shared" si="4"/>
        <v>0</v>
      </c>
      <c r="L29" s="56">
        <f t="shared" si="4"/>
        <v>0</v>
      </c>
      <c r="M29" s="56">
        <f t="shared" si="4"/>
        <v>0</v>
      </c>
      <c r="N29" s="56">
        <f t="shared" si="4"/>
        <v>0</v>
      </c>
      <c r="O29" s="56">
        <f t="shared" si="4"/>
        <v>0</v>
      </c>
      <c r="P29" s="56">
        <f t="shared" si="4"/>
        <v>0</v>
      </c>
      <c r="Q29" s="56">
        <f t="shared" si="4"/>
        <v>0</v>
      </c>
      <c r="R29" s="56">
        <f t="shared" si="4"/>
        <v>0</v>
      </c>
      <c r="S29" s="56">
        <f t="shared" si="4"/>
        <v>0</v>
      </c>
      <c r="T29" s="56">
        <f t="shared" si="4"/>
        <v>0</v>
      </c>
      <c r="U29" s="56">
        <f t="shared" si="4"/>
        <v>0</v>
      </c>
      <c r="V29" s="56">
        <f t="shared" si="4"/>
        <v>0</v>
      </c>
      <c r="W29" s="56">
        <f t="shared" si="4"/>
        <v>0</v>
      </c>
      <c r="X29" s="56">
        <f t="shared" si="4"/>
        <v>0</v>
      </c>
      <c r="Y29" s="56">
        <f t="shared" si="4"/>
        <v>0</v>
      </c>
      <c r="Z29" s="135">
        <f>SUM(B29:Y29)</f>
        <v>0</v>
      </c>
      <c r="AA29" s="144">
        <f>AA18-AA28</f>
        <v>0</v>
      </c>
      <c r="AB29" s="100">
        <f>Z29+AA29</f>
        <v>0</v>
      </c>
    </row>
    <row r="30" spans="1:28" ht="18" customHeight="1" thickBot="1" x14ac:dyDescent="0.3">
      <c r="A30" s="49"/>
      <c r="B30" s="129">
        <f>B28+B29</f>
        <v>0</v>
      </c>
      <c r="C30" s="129">
        <f t="shared" ref="C30:AA30" si="5">C28+C29</f>
        <v>0</v>
      </c>
      <c r="D30" s="129">
        <f t="shared" si="5"/>
        <v>0</v>
      </c>
      <c r="E30" s="129">
        <f t="shared" si="5"/>
        <v>0</v>
      </c>
      <c r="F30" s="129">
        <f t="shared" si="5"/>
        <v>0</v>
      </c>
      <c r="G30" s="129">
        <f t="shared" si="5"/>
        <v>0</v>
      </c>
      <c r="H30" s="129">
        <f t="shared" si="5"/>
        <v>0</v>
      </c>
      <c r="I30" s="129">
        <f t="shared" si="5"/>
        <v>0</v>
      </c>
      <c r="J30" s="129">
        <f t="shared" si="5"/>
        <v>0</v>
      </c>
      <c r="K30" s="129">
        <f t="shared" si="5"/>
        <v>0</v>
      </c>
      <c r="L30" s="129">
        <f t="shared" si="5"/>
        <v>0</v>
      </c>
      <c r="M30" s="129">
        <f t="shared" si="5"/>
        <v>0</v>
      </c>
      <c r="N30" s="129">
        <f t="shared" si="5"/>
        <v>0</v>
      </c>
      <c r="O30" s="129">
        <f t="shared" si="5"/>
        <v>0</v>
      </c>
      <c r="P30" s="129">
        <f t="shared" si="5"/>
        <v>0</v>
      </c>
      <c r="Q30" s="129">
        <f t="shared" si="5"/>
        <v>0</v>
      </c>
      <c r="R30" s="129">
        <f t="shared" si="5"/>
        <v>0</v>
      </c>
      <c r="S30" s="129">
        <f t="shared" si="5"/>
        <v>0</v>
      </c>
      <c r="T30" s="129">
        <f t="shared" si="5"/>
        <v>0</v>
      </c>
      <c r="U30" s="129">
        <f t="shared" si="5"/>
        <v>0</v>
      </c>
      <c r="V30" s="129">
        <f t="shared" si="5"/>
        <v>0</v>
      </c>
      <c r="W30" s="129">
        <f t="shared" si="5"/>
        <v>0</v>
      </c>
      <c r="X30" s="129">
        <f t="shared" si="5"/>
        <v>0</v>
      </c>
      <c r="Y30" s="129">
        <f t="shared" si="5"/>
        <v>0</v>
      </c>
      <c r="Z30" s="130">
        <f>Z28+Z29</f>
        <v>0</v>
      </c>
      <c r="AA30" s="131">
        <f t="shared" si="5"/>
        <v>0</v>
      </c>
      <c r="AB30" s="132">
        <f>SUM(AB28:AB29)</f>
        <v>0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0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0</v>
      </c>
      <c r="C38" s="71">
        <f>X28</f>
        <v>0</v>
      </c>
      <c r="D38" s="72">
        <f>Q28</f>
        <v>0</v>
      </c>
      <c r="E38" s="72">
        <f>S28</f>
        <v>0</v>
      </c>
      <c r="F38" s="72">
        <f>L28+M28+N28+R28+X28</f>
        <v>0</v>
      </c>
      <c r="G38" s="72">
        <f>P28</f>
        <v>0</v>
      </c>
      <c r="H38" s="72">
        <f>T28</f>
        <v>0</v>
      </c>
      <c r="I38" s="72">
        <f>V28</f>
        <v>0</v>
      </c>
      <c r="J38" s="72">
        <f>C28</f>
        <v>0</v>
      </c>
      <c r="K38" s="72">
        <f>O28</f>
        <v>0</v>
      </c>
      <c r="L38" s="72">
        <f>J28</f>
        <v>0</v>
      </c>
      <c r="M38" s="72">
        <f>B28+E28</f>
        <v>0</v>
      </c>
      <c r="N38" s="72">
        <f>U28</f>
        <v>0</v>
      </c>
      <c r="O38" s="73">
        <f>D28+K28</f>
        <v>0</v>
      </c>
      <c r="P38" s="72">
        <f>Y28</f>
        <v>0</v>
      </c>
      <c r="Q38" s="118">
        <f>SUM(B38:P38)</f>
        <v>0</v>
      </c>
      <c r="R38" s="42">
        <f>AA28</f>
        <v>0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0</v>
      </c>
      <c r="C40" s="80">
        <f t="shared" ref="C40:P40" si="6">C38*C39</f>
        <v>0</v>
      </c>
      <c r="D40" s="80">
        <f t="shared" si="6"/>
        <v>0</v>
      </c>
      <c r="E40" s="80">
        <f t="shared" si="6"/>
        <v>0</v>
      </c>
      <c r="F40" s="80">
        <f t="shared" si="6"/>
        <v>0</v>
      </c>
      <c r="G40" s="80">
        <f t="shared" si="6"/>
        <v>0</v>
      </c>
      <c r="H40" s="80">
        <f t="shared" si="6"/>
        <v>0</v>
      </c>
      <c r="I40" s="80">
        <f t="shared" si="6"/>
        <v>0</v>
      </c>
      <c r="J40" s="80">
        <f t="shared" si="6"/>
        <v>0</v>
      </c>
      <c r="K40" s="80">
        <f t="shared" si="6"/>
        <v>0</v>
      </c>
      <c r="L40" s="80">
        <f t="shared" si="6"/>
        <v>0</v>
      </c>
      <c r="M40" s="80">
        <f t="shared" si="6"/>
        <v>0</v>
      </c>
      <c r="N40" s="80">
        <f t="shared" si="6"/>
        <v>0</v>
      </c>
      <c r="O40" s="81">
        <f t="shared" si="6"/>
        <v>0</v>
      </c>
      <c r="P40" s="80">
        <f t="shared" si="6"/>
        <v>0</v>
      </c>
      <c r="Q40" s="138">
        <f>SUM(B40:P40)</f>
        <v>0</v>
      </c>
      <c r="R40" s="137">
        <f>R38*R39</f>
        <v>0</v>
      </c>
    </row>
    <row r="41" spans="1:28" ht="18" customHeight="1" thickBot="1" x14ac:dyDescent="0.3">
      <c r="A41" s="49" t="s">
        <v>4</v>
      </c>
      <c r="B41" s="82">
        <f>B38+B40</f>
        <v>0</v>
      </c>
      <c r="C41" s="83">
        <f t="shared" ref="C41:R41" si="7">C38+C40</f>
        <v>0</v>
      </c>
      <c r="D41" s="83">
        <f t="shared" si="7"/>
        <v>0</v>
      </c>
      <c r="E41" s="83">
        <f t="shared" si="7"/>
        <v>0</v>
      </c>
      <c r="F41" s="83">
        <f t="shared" si="7"/>
        <v>0</v>
      </c>
      <c r="G41" s="83">
        <f t="shared" si="7"/>
        <v>0</v>
      </c>
      <c r="H41" s="83">
        <f t="shared" si="7"/>
        <v>0</v>
      </c>
      <c r="I41" s="83">
        <f t="shared" si="7"/>
        <v>0</v>
      </c>
      <c r="J41" s="83">
        <f t="shared" si="7"/>
        <v>0</v>
      </c>
      <c r="K41" s="83">
        <f t="shared" si="7"/>
        <v>0</v>
      </c>
      <c r="L41" s="83">
        <f t="shared" si="7"/>
        <v>0</v>
      </c>
      <c r="M41" s="83">
        <f t="shared" si="7"/>
        <v>0</v>
      </c>
      <c r="N41" s="83">
        <f t="shared" si="7"/>
        <v>0</v>
      </c>
      <c r="O41" s="84">
        <f t="shared" si="7"/>
        <v>0</v>
      </c>
      <c r="P41" s="83">
        <f t="shared" si="7"/>
        <v>0</v>
      </c>
      <c r="Q41" s="120">
        <f>SUM(B41:P41)</f>
        <v>0</v>
      </c>
      <c r="R41" s="85">
        <f t="shared" si="7"/>
        <v>0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2F78-479F-4397-8FD5-9BAB5FA35783}">
  <sheetPr>
    <tabColor theme="9" tint="0.39997558519241921"/>
    <pageSetUpPr fitToPage="1"/>
  </sheetPr>
  <dimension ref="A1:AB41"/>
  <sheetViews>
    <sheetView zoomScale="90" zoomScaleNormal="90" workbookViewId="0">
      <selection activeCell="AA28" sqref="AA28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107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101">
        <f>SUM(B7:Y7)</f>
        <v>0</v>
      </c>
      <c r="AA7" s="109"/>
      <c r="AB7" s="93">
        <f>Z7+AA7</f>
        <v>0</v>
      </c>
    </row>
    <row r="8" spans="1:28" ht="17.25" customHeight="1" x14ac:dyDescent="0.25">
      <c r="A8" s="35" t="s">
        <v>6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101">
        <f>SUM(B8:Y8)</f>
        <v>0</v>
      </c>
      <c r="AA8" s="109"/>
      <c r="AB8" s="93">
        <f>Z8+AA8</f>
        <v>0</v>
      </c>
    </row>
    <row r="9" spans="1:28" ht="18" customHeight="1" x14ac:dyDescent="0.25">
      <c r="A9" s="35" t="s">
        <v>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101">
        <f>SUM(B9:Y9)</f>
        <v>0</v>
      </c>
      <c r="AA9" s="109"/>
      <c r="AB9" s="93">
        <f>Z9+AA9</f>
        <v>0</v>
      </c>
    </row>
    <row r="10" spans="1:28" ht="18" customHeight="1" thickBot="1" x14ac:dyDescent="0.3">
      <c r="A10" s="35" t="s">
        <v>7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101">
        <f>SUM(B10:Y10)</f>
        <v>0</v>
      </c>
      <c r="AA10" s="109"/>
      <c r="AB10" s="93">
        <f>Z10+AA10</f>
        <v>0</v>
      </c>
    </row>
    <row r="11" spans="1:28" ht="18" customHeight="1" thickBot="1" x14ac:dyDescent="0.3">
      <c r="A11" s="49" t="s">
        <v>19</v>
      </c>
      <c r="B11" s="89">
        <f>SUM(B7:B10)</f>
        <v>0</v>
      </c>
      <c r="C11" s="89">
        <f t="shared" ref="C11:X11" si="0">SUM(C7:C10)</f>
        <v>0</v>
      </c>
      <c r="D11" s="89">
        <f t="shared" si="0"/>
        <v>0</v>
      </c>
      <c r="E11" s="89">
        <f t="shared" si="0"/>
        <v>0</v>
      </c>
      <c r="F11" s="89">
        <f t="shared" si="0"/>
        <v>0</v>
      </c>
      <c r="G11" s="89">
        <f t="shared" si="0"/>
        <v>0</v>
      </c>
      <c r="H11" s="89">
        <f t="shared" si="0"/>
        <v>0</v>
      </c>
      <c r="I11" s="89">
        <f t="shared" si="0"/>
        <v>0</v>
      </c>
      <c r="J11" s="89">
        <f t="shared" si="0"/>
        <v>0</v>
      </c>
      <c r="K11" s="89">
        <f t="shared" si="0"/>
        <v>0</v>
      </c>
      <c r="L11" s="89">
        <f t="shared" si="0"/>
        <v>0</v>
      </c>
      <c r="M11" s="89">
        <f t="shared" si="0"/>
        <v>0</v>
      </c>
      <c r="N11" s="89">
        <f t="shared" si="0"/>
        <v>0</v>
      </c>
      <c r="O11" s="89">
        <f t="shared" si="0"/>
        <v>0</v>
      </c>
      <c r="P11" s="89">
        <f t="shared" si="0"/>
        <v>0</v>
      </c>
      <c r="Q11" s="89">
        <f t="shared" si="0"/>
        <v>0</v>
      </c>
      <c r="R11" s="89">
        <f t="shared" si="0"/>
        <v>0</v>
      </c>
      <c r="S11" s="89">
        <f t="shared" si="0"/>
        <v>0</v>
      </c>
      <c r="T11" s="89">
        <f t="shared" si="0"/>
        <v>0</v>
      </c>
      <c r="U11" s="89">
        <f t="shared" si="0"/>
        <v>0</v>
      </c>
      <c r="V11" s="89">
        <f t="shared" si="0"/>
        <v>0</v>
      </c>
      <c r="W11" s="89">
        <f t="shared" si="0"/>
        <v>0</v>
      </c>
      <c r="X11" s="89">
        <f t="shared" si="0"/>
        <v>0</v>
      </c>
      <c r="Y11" s="89">
        <f>SUM(Y7:Y10)</f>
        <v>0</v>
      </c>
      <c r="Z11" s="140">
        <f>SUM(Z7:Z10)</f>
        <v>0</v>
      </c>
      <c r="AA11" s="141">
        <f>SUM(AA7:AA10)</f>
        <v>0</v>
      </c>
      <c r="AB11" s="142">
        <f>SUM(AB7:AB10)</f>
        <v>0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101">
        <f>SUM(B14:Y14)</f>
        <v>0</v>
      </c>
      <c r="AA14" s="109"/>
      <c r="AB14" s="93">
        <f>Z14+AA14</f>
        <v>0</v>
      </c>
    </row>
    <row r="15" spans="1:28" ht="18" customHeight="1" x14ac:dyDescent="0.25">
      <c r="A15" s="35" t="s">
        <v>8</v>
      </c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101">
        <f>SUM(B15:Y15)</f>
        <v>0</v>
      </c>
      <c r="AA15" s="109"/>
      <c r="AB15" s="93">
        <f>Z15+AA15</f>
        <v>0</v>
      </c>
    </row>
    <row r="16" spans="1:28" ht="18" customHeight="1" x14ac:dyDescent="0.25">
      <c r="A16" s="35" t="s">
        <v>13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101">
        <f>SUM(B16:Y16)</f>
        <v>0</v>
      </c>
      <c r="AA16" s="109"/>
      <c r="AB16" s="93">
        <f>Z16+AA16</f>
        <v>0</v>
      </c>
    </row>
    <row r="17" spans="1:28" ht="18" customHeight="1" thickBot="1" x14ac:dyDescent="0.3">
      <c r="A17" s="35" t="s">
        <v>22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101">
        <f>SUM(B17:Y17)</f>
        <v>0</v>
      </c>
      <c r="AA17" s="109"/>
      <c r="AB17" s="93">
        <f>Z17+AA17</f>
        <v>0</v>
      </c>
    </row>
    <row r="18" spans="1:28" ht="18" customHeight="1" thickBot="1" x14ac:dyDescent="0.3">
      <c r="A18" s="85" t="s">
        <v>20</v>
      </c>
      <c r="B18" s="89">
        <f>SUM(B14:B17)</f>
        <v>0</v>
      </c>
      <c r="C18" s="89">
        <f t="shared" ref="C18:AB18" si="1">SUM(C14:C17)</f>
        <v>0</v>
      </c>
      <c r="D18" s="89">
        <f t="shared" si="1"/>
        <v>0</v>
      </c>
      <c r="E18" s="89">
        <f t="shared" si="1"/>
        <v>0</v>
      </c>
      <c r="F18" s="89">
        <f t="shared" si="1"/>
        <v>0</v>
      </c>
      <c r="G18" s="89">
        <f t="shared" si="1"/>
        <v>0</v>
      </c>
      <c r="H18" s="89">
        <f t="shared" si="1"/>
        <v>0</v>
      </c>
      <c r="I18" s="89">
        <f t="shared" si="1"/>
        <v>0</v>
      </c>
      <c r="J18" s="89">
        <f t="shared" si="1"/>
        <v>0</v>
      </c>
      <c r="K18" s="89">
        <f t="shared" si="1"/>
        <v>0</v>
      </c>
      <c r="L18" s="89">
        <f t="shared" si="1"/>
        <v>0</v>
      </c>
      <c r="M18" s="89">
        <f t="shared" si="1"/>
        <v>0</v>
      </c>
      <c r="N18" s="89">
        <f t="shared" si="1"/>
        <v>0</v>
      </c>
      <c r="O18" s="89">
        <f t="shared" si="1"/>
        <v>0</v>
      </c>
      <c r="P18" s="89">
        <f t="shared" si="1"/>
        <v>0</v>
      </c>
      <c r="Q18" s="89">
        <f t="shared" si="1"/>
        <v>0</v>
      </c>
      <c r="R18" s="89">
        <f t="shared" si="1"/>
        <v>0</v>
      </c>
      <c r="S18" s="89">
        <f t="shared" si="1"/>
        <v>0</v>
      </c>
      <c r="T18" s="89">
        <f t="shared" si="1"/>
        <v>0</v>
      </c>
      <c r="U18" s="89">
        <f t="shared" si="1"/>
        <v>0</v>
      </c>
      <c r="V18" s="89">
        <f t="shared" si="1"/>
        <v>0</v>
      </c>
      <c r="W18" s="89">
        <f t="shared" si="1"/>
        <v>0</v>
      </c>
      <c r="X18" s="89">
        <f t="shared" si="1"/>
        <v>0</v>
      </c>
      <c r="Y18" s="89">
        <f t="shared" si="1"/>
        <v>0</v>
      </c>
      <c r="Z18" s="102">
        <f>SUM(Z14:Z17)</f>
        <v>0</v>
      </c>
      <c r="AA18" s="102">
        <f>SUM(AA14:AA17)</f>
        <v>0</v>
      </c>
      <c r="AB18" s="94">
        <f t="shared" si="1"/>
        <v>0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0</v>
      </c>
      <c r="C20" s="39">
        <f t="shared" ref="C20:AB20" si="2">SUM(C11,C18)</f>
        <v>0</v>
      </c>
      <c r="D20" s="39">
        <f t="shared" si="2"/>
        <v>0</v>
      </c>
      <c r="E20" s="39">
        <f t="shared" si="2"/>
        <v>0</v>
      </c>
      <c r="F20" s="39">
        <f t="shared" si="2"/>
        <v>0</v>
      </c>
      <c r="G20" s="39">
        <f t="shared" si="2"/>
        <v>0</v>
      </c>
      <c r="H20" s="39">
        <f t="shared" si="2"/>
        <v>0</v>
      </c>
      <c r="I20" s="39">
        <f t="shared" si="2"/>
        <v>0</v>
      </c>
      <c r="J20" s="39">
        <f t="shared" si="2"/>
        <v>0</v>
      </c>
      <c r="K20" s="39">
        <f t="shared" si="2"/>
        <v>0</v>
      </c>
      <c r="L20" s="39">
        <f t="shared" si="2"/>
        <v>0</v>
      </c>
      <c r="M20" s="39">
        <f t="shared" si="2"/>
        <v>0</v>
      </c>
      <c r="N20" s="39">
        <f t="shared" si="2"/>
        <v>0</v>
      </c>
      <c r="O20" s="39">
        <f t="shared" si="2"/>
        <v>0</v>
      </c>
      <c r="P20" s="39">
        <f t="shared" si="2"/>
        <v>0</v>
      </c>
      <c r="Q20" s="39">
        <f t="shared" si="2"/>
        <v>0</v>
      </c>
      <c r="R20" s="39">
        <f t="shared" si="2"/>
        <v>0</v>
      </c>
      <c r="S20" s="39">
        <f t="shared" si="2"/>
        <v>0</v>
      </c>
      <c r="T20" s="39">
        <f t="shared" si="2"/>
        <v>0</v>
      </c>
      <c r="U20" s="39">
        <f t="shared" si="2"/>
        <v>0</v>
      </c>
      <c r="V20" s="39">
        <f t="shared" si="2"/>
        <v>0</v>
      </c>
      <c r="W20" s="39">
        <f t="shared" si="2"/>
        <v>0</v>
      </c>
      <c r="X20" s="39">
        <f t="shared" si="2"/>
        <v>0</v>
      </c>
      <c r="Y20" s="39">
        <f t="shared" si="2"/>
        <v>0</v>
      </c>
      <c r="Z20" s="139">
        <f>Z11+Z18</f>
        <v>0</v>
      </c>
      <c r="AA20" s="143">
        <f>AA11+AA18</f>
        <v>0</v>
      </c>
      <c r="AB20" s="136">
        <f t="shared" si="2"/>
        <v>0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B18/(100%+B$27)</f>
        <v>0</v>
      </c>
      <c r="C28" s="56">
        <f t="shared" ref="C28:AA28" si="3">C18/(100%+C$27)</f>
        <v>0</v>
      </c>
      <c r="D28" s="56">
        <f t="shared" si="3"/>
        <v>0</v>
      </c>
      <c r="E28" s="56">
        <f t="shared" si="3"/>
        <v>0</v>
      </c>
      <c r="F28" s="56">
        <f t="shared" si="3"/>
        <v>0</v>
      </c>
      <c r="G28" s="56">
        <f t="shared" si="3"/>
        <v>0</v>
      </c>
      <c r="H28" s="56">
        <f t="shared" si="3"/>
        <v>0</v>
      </c>
      <c r="I28" s="56">
        <f t="shared" si="3"/>
        <v>0</v>
      </c>
      <c r="J28" s="56">
        <f t="shared" si="3"/>
        <v>0</v>
      </c>
      <c r="K28" s="56">
        <f t="shared" si="3"/>
        <v>0</v>
      </c>
      <c r="L28" s="56">
        <f t="shared" si="3"/>
        <v>0</v>
      </c>
      <c r="M28" s="56">
        <f t="shared" si="3"/>
        <v>0</v>
      </c>
      <c r="N28" s="56">
        <f t="shared" si="3"/>
        <v>0</v>
      </c>
      <c r="O28" s="56">
        <f t="shared" si="3"/>
        <v>0</v>
      </c>
      <c r="P28" s="56">
        <f t="shared" si="3"/>
        <v>0</v>
      </c>
      <c r="Q28" s="56">
        <f t="shared" si="3"/>
        <v>0</v>
      </c>
      <c r="R28" s="56">
        <f t="shared" si="3"/>
        <v>0</v>
      </c>
      <c r="S28" s="56">
        <f t="shared" si="3"/>
        <v>0</v>
      </c>
      <c r="T28" s="56">
        <f t="shared" si="3"/>
        <v>0</v>
      </c>
      <c r="U28" s="56">
        <f t="shared" si="3"/>
        <v>0</v>
      </c>
      <c r="V28" s="56">
        <f t="shared" si="3"/>
        <v>0</v>
      </c>
      <c r="W28" s="56">
        <f t="shared" si="3"/>
        <v>0</v>
      </c>
      <c r="X28" s="56">
        <f t="shared" si="3"/>
        <v>0</v>
      </c>
      <c r="Y28" s="56">
        <f t="shared" si="3"/>
        <v>0</v>
      </c>
      <c r="Z28" s="127">
        <f>SUM(B28:Y28)</f>
        <v>0</v>
      </c>
      <c r="AA28" s="128">
        <f t="shared" si="3"/>
        <v>0</v>
      </c>
      <c r="AB28" s="100">
        <f>Z28+AA28</f>
        <v>0</v>
      </c>
    </row>
    <row r="29" spans="1:28" ht="18" customHeight="1" thickBot="1" x14ac:dyDescent="0.3">
      <c r="A29" s="52" t="s">
        <v>63</v>
      </c>
      <c r="B29" s="56">
        <f>B18-B28</f>
        <v>0</v>
      </c>
      <c r="C29" s="56">
        <f t="shared" ref="C29:Y29" si="4">C18-C28</f>
        <v>0</v>
      </c>
      <c r="D29" s="56">
        <f t="shared" si="4"/>
        <v>0</v>
      </c>
      <c r="E29" s="56">
        <f t="shared" si="4"/>
        <v>0</v>
      </c>
      <c r="F29" s="56">
        <f t="shared" si="4"/>
        <v>0</v>
      </c>
      <c r="G29" s="56">
        <f t="shared" si="4"/>
        <v>0</v>
      </c>
      <c r="H29" s="56">
        <f t="shared" si="4"/>
        <v>0</v>
      </c>
      <c r="I29" s="56">
        <f t="shared" si="4"/>
        <v>0</v>
      </c>
      <c r="J29" s="56">
        <f t="shared" si="4"/>
        <v>0</v>
      </c>
      <c r="K29" s="56">
        <f t="shared" si="4"/>
        <v>0</v>
      </c>
      <c r="L29" s="56">
        <f t="shared" si="4"/>
        <v>0</v>
      </c>
      <c r="M29" s="56">
        <f t="shared" si="4"/>
        <v>0</v>
      </c>
      <c r="N29" s="56">
        <f t="shared" si="4"/>
        <v>0</v>
      </c>
      <c r="O29" s="56">
        <f t="shared" si="4"/>
        <v>0</v>
      </c>
      <c r="P29" s="56">
        <f t="shared" si="4"/>
        <v>0</v>
      </c>
      <c r="Q29" s="56">
        <f t="shared" si="4"/>
        <v>0</v>
      </c>
      <c r="R29" s="56">
        <f t="shared" si="4"/>
        <v>0</v>
      </c>
      <c r="S29" s="56">
        <f t="shared" si="4"/>
        <v>0</v>
      </c>
      <c r="T29" s="56">
        <f t="shared" si="4"/>
        <v>0</v>
      </c>
      <c r="U29" s="56">
        <f t="shared" si="4"/>
        <v>0</v>
      </c>
      <c r="V29" s="56">
        <f t="shared" si="4"/>
        <v>0</v>
      </c>
      <c r="W29" s="56">
        <f t="shared" si="4"/>
        <v>0</v>
      </c>
      <c r="X29" s="56">
        <f t="shared" si="4"/>
        <v>0</v>
      </c>
      <c r="Y29" s="56">
        <f t="shared" si="4"/>
        <v>0</v>
      </c>
      <c r="Z29" s="135">
        <f>SUM(B29:Y29)</f>
        <v>0</v>
      </c>
      <c r="AA29" s="144">
        <f>AA18-AA28</f>
        <v>0</v>
      </c>
      <c r="AB29" s="100">
        <f>Z29+AA29</f>
        <v>0</v>
      </c>
    </row>
    <row r="30" spans="1:28" ht="18" customHeight="1" thickBot="1" x14ac:dyDescent="0.3">
      <c r="A30" s="49"/>
      <c r="B30" s="129">
        <f>B28+B29</f>
        <v>0</v>
      </c>
      <c r="C30" s="129">
        <f t="shared" ref="C30:AA30" si="5">C28+C29</f>
        <v>0</v>
      </c>
      <c r="D30" s="129">
        <f t="shared" si="5"/>
        <v>0</v>
      </c>
      <c r="E30" s="129">
        <f t="shared" si="5"/>
        <v>0</v>
      </c>
      <c r="F30" s="129">
        <f t="shared" si="5"/>
        <v>0</v>
      </c>
      <c r="G30" s="129">
        <f t="shared" si="5"/>
        <v>0</v>
      </c>
      <c r="H30" s="129">
        <f t="shared" si="5"/>
        <v>0</v>
      </c>
      <c r="I30" s="129">
        <f t="shared" si="5"/>
        <v>0</v>
      </c>
      <c r="J30" s="129">
        <f t="shared" si="5"/>
        <v>0</v>
      </c>
      <c r="K30" s="129">
        <f t="shared" si="5"/>
        <v>0</v>
      </c>
      <c r="L30" s="129">
        <f t="shared" si="5"/>
        <v>0</v>
      </c>
      <c r="M30" s="129">
        <f t="shared" si="5"/>
        <v>0</v>
      </c>
      <c r="N30" s="129">
        <f t="shared" si="5"/>
        <v>0</v>
      </c>
      <c r="O30" s="129">
        <f t="shared" si="5"/>
        <v>0</v>
      </c>
      <c r="P30" s="129">
        <f t="shared" si="5"/>
        <v>0</v>
      </c>
      <c r="Q30" s="129">
        <f t="shared" si="5"/>
        <v>0</v>
      </c>
      <c r="R30" s="129">
        <f t="shared" si="5"/>
        <v>0</v>
      </c>
      <c r="S30" s="129">
        <f t="shared" si="5"/>
        <v>0</v>
      </c>
      <c r="T30" s="129">
        <f t="shared" si="5"/>
        <v>0</v>
      </c>
      <c r="U30" s="129">
        <f t="shared" si="5"/>
        <v>0</v>
      </c>
      <c r="V30" s="129">
        <f t="shared" si="5"/>
        <v>0</v>
      </c>
      <c r="W30" s="129">
        <f t="shared" si="5"/>
        <v>0</v>
      </c>
      <c r="X30" s="129">
        <f t="shared" si="5"/>
        <v>0</v>
      </c>
      <c r="Y30" s="129">
        <f t="shared" si="5"/>
        <v>0</v>
      </c>
      <c r="Z30" s="130">
        <f>Z28+Z29</f>
        <v>0</v>
      </c>
      <c r="AA30" s="131">
        <f t="shared" si="5"/>
        <v>0</v>
      </c>
      <c r="AB30" s="132">
        <f>SUM(AB28:AB29)</f>
        <v>0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0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0</v>
      </c>
      <c r="C38" s="71">
        <f>X28</f>
        <v>0</v>
      </c>
      <c r="D38" s="72">
        <f>Q28</f>
        <v>0</v>
      </c>
      <c r="E38" s="72">
        <f>S28</f>
        <v>0</v>
      </c>
      <c r="F38" s="72">
        <f>L28+M28+N28+R28+X28</f>
        <v>0</v>
      </c>
      <c r="G38" s="72">
        <f>P28</f>
        <v>0</v>
      </c>
      <c r="H38" s="72">
        <f>T28</f>
        <v>0</v>
      </c>
      <c r="I38" s="72">
        <f>V28</f>
        <v>0</v>
      </c>
      <c r="J38" s="72">
        <f>C28</f>
        <v>0</v>
      </c>
      <c r="K38" s="72">
        <f>O28</f>
        <v>0</v>
      </c>
      <c r="L38" s="72">
        <f>J28</f>
        <v>0</v>
      </c>
      <c r="M38" s="72">
        <f>B28+E28</f>
        <v>0</v>
      </c>
      <c r="N38" s="72">
        <f>U28</f>
        <v>0</v>
      </c>
      <c r="O38" s="73">
        <f>D28+K28</f>
        <v>0</v>
      </c>
      <c r="P38" s="72">
        <f>Y28</f>
        <v>0</v>
      </c>
      <c r="Q38" s="118">
        <f>SUM(B38:P38)</f>
        <v>0</v>
      </c>
      <c r="R38" s="42">
        <f>AA28</f>
        <v>0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0</v>
      </c>
      <c r="C40" s="80">
        <f t="shared" ref="C40:P40" si="6">C38*C39</f>
        <v>0</v>
      </c>
      <c r="D40" s="80">
        <f t="shared" si="6"/>
        <v>0</v>
      </c>
      <c r="E40" s="80">
        <f t="shared" si="6"/>
        <v>0</v>
      </c>
      <c r="F40" s="80">
        <f t="shared" si="6"/>
        <v>0</v>
      </c>
      <c r="G40" s="80">
        <f t="shared" si="6"/>
        <v>0</v>
      </c>
      <c r="H40" s="80">
        <f t="shared" si="6"/>
        <v>0</v>
      </c>
      <c r="I40" s="80">
        <f t="shared" si="6"/>
        <v>0</v>
      </c>
      <c r="J40" s="80">
        <f t="shared" si="6"/>
        <v>0</v>
      </c>
      <c r="K40" s="80">
        <f t="shared" si="6"/>
        <v>0</v>
      </c>
      <c r="L40" s="80">
        <f t="shared" si="6"/>
        <v>0</v>
      </c>
      <c r="M40" s="80">
        <f t="shared" si="6"/>
        <v>0</v>
      </c>
      <c r="N40" s="80">
        <f t="shared" si="6"/>
        <v>0</v>
      </c>
      <c r="O40" s="81">
        <f t="shared" si="6"/>
        <v>0</v>
      </c>
      <c r="P40" s="80">
        <f t="shared" si="6"/>
        <v>0</v>
      </c>
      <c r="Q40" s="138">
        <f>SUM(B40:P40)</f>
        <v>0</v>
      </c>
      <c r="R40" s="137">
        <f>R38*R39</f>
        <v>0</v>
      </c>
    </row>
    <row r="41" spans="1:28" ht="18" customHeight="1" thickBot="1" x14ac:dyDescent="0.3">
      <c r="A41" s="49" t="s">
        <v>4</v>
      </c>
      <c r="B41" s="82">
        <f>B38+B40</f>
        <v>0</v>
      </c>
      <c r="C41" s="83">
        <f t="shared" ref="C41:R41" si="7">C38+C40</f>
        <v>0</v>
      </c>
      <c r="D41" s="83">
        <f t="shared" si="7"/>
        <v>0</v>
      </c>
      <c r="E41" s="83">
        <f t="shared" si="7"/>
        <v>0</v>
      </c>
      <c r="F41" s="83">
        <f t="shared" si="7"/>
        <v>0</v>
      </c>
      <c r="G41" s="83">
        <f t="shared" si="7"/>
        <v>0</v>
      </c>
      <c r="H41" s="83">
        <f t="shared" si="7"/>
        <v>0</v>
      </c>
      <c r="I41" s="83">
        <f t="shared" si="7"/>
        <v>0</v>
      </c>
      <c r="J41" s="83">
        <f t="shared" si="7"/>
        <v>0</v>
      </c>
      <c r="K41" s="83">
        <f t="shared" si="7"/>
        <v>0</v>
      </c>
      <c r="L41" s="83">
        <f t="shared" si="7"/>
        <v>0</v>
      </c>
      <c r="M41" s="83">
        <f t="shared" si="7"/>
        <v>0</v>
      </c>
      <c r="N41" s="83">
        <f t="shared" si="7"/>
        <v>0</v>
      </c>
      <c r="O41" s="84">
        <f t="shared" si="7"/>
        <v>0</v>
      </c>
      <c r="P41" s="83">
        <f t="shared" si="7"/>
        <v>0</v>
      </c>
      <c r="Q41" s="120">
        <f>SUM(B41:P41)</f>
        <v>0</v>
      </c>
      <c r="R41" s="85">
        <f t="shared" si="7"/>
        <v>0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0086-6567-4C83-958D-FDD2F60A7A85}">
  <sheetPr>
    <tabColor theme="9" tint="0.39997558519241921"/>
    <pageSetUpPr fitToPage="1"/>
  </sheetPr>
  <dimension ref="A1:AB41"/>
  <sheetViews>
    <sheetView zoomScale="90" zoomScaleNormal="90" workbookViewId="0">
      <selection activeCell="AA28" sqref="AA28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106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101">
        <f>SUM(B7:Y7)</f>
        <v>0</v>
      </c>
      <c r="AA7" s="109"/>
      <c r="AB7" s="93">
        <f>Z7+AA7</f>
        <v>0</v>
      </c>
    </row>
    <row r="8" spans="1:28" ht="17.25" customHeight="1" x14ac:dyDescent="0.25">
      <c r="A8" s="35" t="s">
        <v>6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101">
        <f>SUM(B8:Y8)</f>
        <v>0</v>
      </c>
      <c r="AA8" s="109"/>
      <c r="AB8" s="93">
        <f>Z8+AA8</f>
        <v>0</v>
      </c>
    </row>
    <row r="9" spans="1:28" ht="18" customHeight="1" x14ac:dyDescent="0.25">
      <c r="A9" s="35" t="s">
        <v>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101">
        <f>SUM(B9:Y9)</f>
        <v>0</v>
      </c>
      <c r="AA9" s="109"/>
      <c r="AB9" s="93">
        <f>Z9+AA9</f>
        <v>0</v>
      </c>
    </row>
    <row r="10" spans="1:28" ht="18" customHeight="1" thickBot="1" x14ac:dyDescent="0.3">
      <c r="A10" s="35" t="s">
        <v>7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101">
        <f>SUM(B10:Y10)</f>
        <v>0</v>
      </c>
      <c r="AA10" s="109"/>
      <c r="AB10" s="93">
        <f>Z10+AA10</f>
        <v>0</v>
      </c>
    </row>
    <row r="11" spans="1:28" ht="18" customHeight="1" thickBot="1" x14ac:dyDescent="0.3">
      <c r="A11" s="49" t="s">
        <v>19</v>
      </c>
      <c r="B11" s="89">
        <f>SUM(B7:B10)</f>
        <v>0</v>
      </c>
      <c r="C11" s="89">
        <f t="shared" ref="C11:X11" si="0">SUM(C7:C10)</f>
        <v>0</v>
      </c>
      <c r="D11" s="89">
        <f t="shared" si="0"/>
        <v>0</v>
      </c>
      <c r="E11" s="89">
        <f t="shared" si="0"/>
        <v>0</v>
      </c>
      <c r="F11" s="89">
        <f t="shared" si="0"/>
        <v>0</v>
      </c>
      <c r="G11" s="89">
        <f t="shared" si="0"/>
        <v>0</v>
      </c>
      <c r="H11" s="89">
        <f t="shared" si="0"/>
        <v>0</v>
      </c>
      <c r="I11" s="89">
        <f t="shared" si="0"/>
        <v>0</v>
      </c>
      <c r="J11" s="89">
        <f t="shared" si="0"/>
        <v>0</v>
      </c>
      <c r="K11" s="89">
        <f t="shared" si="0"/>
        <v>0</v>
      </c>
      <c r="L11" s="89">
        <f t="shared" si="0"/>
        <v>0</v>
      </c>
      <c r="M11" s="89">
        <f t="shared" si="0"/>
        <v>0</v>
      </c>
      <c r="N11" s="89">
        <f t="shared" si="0"/>
        <v>0</v>
      </c>
      <c r="O11" s="89">
        <f t="shared" si="0"/>
        <v>0</v>
      </c>
      <c r="P11" s="89">
        <f t="shared" si="0"/>
        <v>0</v>
      </c>
      <c r="Q11" s="89">
        <f t="shared" si="0"/>
        <v>0</v>
      </c>
      <c r="R11" s="89">
        <f t="shared" si="0"/>
        <v>0</v>
      </c>
      <c r="S11" s="89">
        <f t="shared" si="0"/>
        <v>0</v>
      </c>
      <c r="T11" s="89">
        <f t="shared" si="0"/>
        <v>0</v>
      </c>
      <c r="U11" s="89">
        <f t="shared" si="0"/>
        <v>0</v>
      </c>
      <c r="V11" s="89">
        <f t="shared" si="0"/>
        <v>0</v>
      </c>
      <c r="W11" s="89">
        <f t="shared" si="0"/>
        <v>0</v>
      </c>
      <c r="X11" s="89">
        <f t="shared" si="0"/>
        <v>0</v>
      </c>
      <c r="Y11" s="89">
        <f>SUM(Y7:Y10)</f>
        <v>0</v>
      </c>
      <c r="Z11" s="140">
        <f>SUM(Z7:Z10)</f>
        <v>0</v>
      </c>
      <c r="AA11" s="141">
        <f>SUM(AA7:AA10)</f>
        <v>0</v>
      </c>
      <c r="AB11" s="142">
        <f>SUM(AB7:AB10)</f>
        <v>0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101">
        <f>SUM(B14:Y14)</f>
        <v>0</v>
      </c>
      <c r="AA14" s="109"/>
      <c r="AB14" s="93">
        <f>Z14+AA14</f>
        <v>0</v>
      </c>
    </row>
    <row r="15" spans="1:28" ht="18" customHeight="1" x14ac:dyDescent="0.25">
      <c r="A15" s="35" t="s">
        <v>8</v>
      </c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101">
        <f>SUM(B15:Y15)</f>
        <v>0</v>
      </c>
      <c r="AA15" s="109"/>
      <c r="AB15" s="93">
        <f>Z15+AA15</f>
        <v>0</v>
      </c>
    </row>
    <row r="16" spans="1:28" ht="18" customHeight="1" x14ac:dyDescent="0.25">
      <c r="A16" s="35" t="s">
        <v>13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101">
        <f>SUM(B16:Y16)</f>
        <v>0</v>
      </c>
      <c r="AA16" s="109"/>
      <c r="AB16" s="93">
        <f>Z16+AA16</f>
        <v>0</v>
      </c>
    </row>
    <row r="17" spans="1:28" ht="18" customHeight="1" thickBot="1" x14ac:dyDescent="0.3">
      <c r="A17" s="35" t="s">
        <v>22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101">
        <f>SUM(B17:Y17)</f>
        <v>0</v>
      </c>
      <c r="AA17" s="109"/>
      <c r="AB17" s="93">
        <f>Z17+AA17</f>
        <v>0</v>
      </c>
    </row>
    <row r="18" spans="1:28" ht="18" customHeight="1" thickBot="1" x14ac:dyDescent="0.3">
      <c r="A18" s="85" t="s">
        <v>20</v>
      </c>
      <c r="B18" s="89">
        <f>SUM(B14:B17)</f>
        <v>0</v>
      </c>
      <c r="C18" s="89">
        <f t="shared" ref="C18:AB18" si="1">SUM(C14:C17)</f>
        <v>0</v>
      </c>
      <c r="D18" s="89">
        <f t="shared" si="1"/>
        <v>0</v>
      </c>
      <c r="E18" s="89">
        <f t="shared" si="1"/>
        <v>0</v>
      </c>
      <c r="F18" s="89">
        <f t="shared" si="1"/>
        <v>0</v>
      </c>
      <c r="G18" s="89">
        <f t="shared" si="1"/>
        <v>0</v>
      </c>
      <c r="H18" s="89">
        <f t="shared" si="1"/>
        <v>0</v>
      </c>
      <c r="I18" s="89">
        <f t="shared" si="1"/>
        <v>0</v>
      </c>
      <c r="J18" s="89">
        <f t="shared" si="1"/>
        <v>0</v>
      </c>
      <c r="K18" s="89">
        <f t="shared" si="1"/>
        <v>0</v>
      </c>
      <c r="L18" s="89">
        <f t="shared" si="1"/>
        <v>0</v>
      </c>
      <c r="M18" s="89">
        <f t="shared" si="1"/>
        <v>0</v>
      </c>
      <c r="N18" s="89">
        <f t="shared" si="1"/>
        <v>0</v>
      </c>
      <c r="O18" s="89">
        <f t="shared" si="1"/>
        <v>0</v>
      </c>
      <c r="P18" s="89">
        <f t="shared" si="1"/>
        <v>0</v>
      </c>
      <c r="Q18" s="89">
        <f t="shared" si="1"/>
        <v>0</v>
      </c>
      <c r="R18" s="89">
        <f t="shared" si="1"/>
        <v>0</v>
      </c>
      <c r="S18" s="89">
        <f t="shared" si="1"/>
        <v>0</v>
      </c>
      <c r="T18" s="89">
        <f t="shared" si="1"/>
        <v>0</v>
      </c>
      <c r="U18" s="89">
        <f t="shared" si="1"/>
        <v>0</v>
      </c>
      <c r="V18" s="89">
        <f t="shared" si="1"/>
        <v>0</v>
      </c>
      <c r="W18" s="89">
        <f t="shared" si="1"/>
        <v>0</v>
      </c>
      <c r="X18" s="89">
        <f t="shared" si="1"/>
        <v>0</v>
      </c>
      <c r="Y18" s="89">
        <f t="shared" si="1"/>
        <v>0</v>
      </c>
      <c r="Z18" s="102">
        <f>SUM(Z14:Z17)</f>
        <v>0</v>
      </c>
      <c r="AA18" s="102">
        <f>SUM(AA14:AA17)</f>
        <v>0</v>
      </c>
      <c r="AB18" s="94">
        <f t="shared" si="1"/>
        <v>0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0</v>
      </c>
      <c r="C20" s="39">
        <f t="shared" ref="C20:AB20" si="2">SUM(C11,C18)</f>
        <v>0</v>
      </c>
      <c r="D20" s="39">
        <f t="shared" si="2"/>
        <v>0</v>
      </c>
      <c r="E20" s="39">
        <f t="shared" si="2"/>
        <v>0</v>
      </c>
      <c r="F20" s="39">
        <f t="shared" si="2"/>
        <v>0</v>
      </c>
      <c r="G20" s="39">
        <f t="shared" si="2"/>
        <v>0</v>
      </c>
      <c r="H20" s="39">
        <f t="shared" si="2"/>
        <v>0</v>
      </c>
      <c r="I20" s="39">
        <f t="shared" si="2"/>
        <v>0</v>
      </c>
      <c r="J20" s="39">
        <f t="shared" si="2"/>
        <v>0</v>
      </c>
      <c r="K20" s="39">
        <f t="shared" si="2"/>
        <v>0</v>
      </c>
      <c r="L20" s="39">
        <f t="shared" si="2"/>
        <v>0</v>
      </c>
      <c r="M20" s="39">
        <f t="shared" si="2"/>
        <v>0</v>
      </c>
      <c r="N20" s="39">
        <f t="shared" si="2"/>
        <v>0</v>
      </c>
      <c r="O20" s="39">
        <f t="shared" si="2"/>
        <v>0</v>
      </c>
      <c r="P20" s="39">
        <f t="shared" si="2"/>
        <v>0</v>
      </c>
      <c r="Q20" s="39">
        <f t="shared" si="2"/>
        <v>0</v>
      </c>
      <c r="R20" s="39">
        <f t="shared" si="2"/>
        <v>0</v>
      </c>
      <c r="S20" s="39">
        <f t="shared" si="2"/>
        <v>0</v>
      </c>
      <c r="T20" s="39">
        <f t="shared" si="2"/>
        <v>0</v>
      </c>
      <c r="U20" s="39">
        <f t="shared" si="2"/>
        <v>0</v>
      </c>
      <c r="V20" s="39">
        <f t="shared" si="2"/>
        <v>0</v>
      </c>
      <c r="W20" s="39">
        <f t="shared" si="2"/>
        <v>0</v>
      </c>
      <c r="X20" s="39">
        <f t="shared" si="2"/>
        <v>0</v>
      </c>
      <c r="Y20" s="39">
        <f t="shared" si="2"/>
        <v>0</v>
      </c>
      <c r="Z20" s="139">
        <f>Z11+Z18</f>
        <v>0</v>
      </c>
      <c r="AA20" s="143">
        <f>AA11+AA18</f>
        <v>0</v>
      </c>
      <c r="AB20" s="136">
        <f t="shared" si="2"/>
        <v>0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B18/(100%+B$27)</f>
        <v>0</v>
      </c>
      <c r="C28" s="56">
        <f t="shared" ref="C28:AA28" si="3">C18/(100%+C$27)</f>
        <v>0</v>
      </c>
      <c r="D28" s="56">
        <f t="shared" si="3"/>
        <v>0</v>
      </c>
      <c r="E28" s="56">
        <f t="shared" si="3"/>
        <v>0</v>
      </c>
      <c r="F28" s="56">
        <f t="shared" si="3"/>
        <v>0</v>
      </c>
      <c r="G28" s="56">
        <f t="shared" si="3"/>
        <v>0</v>
      </c>
      <c r="H28" s="56">
        <f t="shared" si="3"/>
        <v>0</v>
      </c>
      <c r="I28" s="56">
        <f t="shared" si="3"/>
        <v>0</v>
      </c>
      <c r="J28" s="56">
        <f t="shared" si="3"/>
        <v>0</v>
      </c>
      <c r="K28" s="56">
        <f t="shared" si="3"/>
        <v>0</v>
      </c>
      <c r="L28" s="56">
        <f t="shared" si="3"/>
        <v>0</v>
      </c>
      <c r="M28" s="56">
        <f t="shared" si="3"/>
        <v>0</v>
      </c>
      <c r="N28" s="56">
        <f t="shared" si="3"/>
        <v>0</v>
      </c>
      <c r="O28" s="56">
        <f t="shared" si="3"/>
        <v>0</v>
      </c>
      <c r="P28" s="56">
        <f t="shared" si="3"/>
        <v>0</v>
      </c>
      <c r="Q28" s="56">
        <f t="shared" si="3"/>
        <v>0</v>
      </c>
      <c r="R28" s="56">
        <f t="shared" si="3"/>
        <v>0</v>
      </c>
      <c r="S28" s="56">
        <f t="shared" si="3"/>
        <v>0</v>
      </c>
      <c r="T28" s="56">
        <f t="shared" si="3"/>
        <v>0</v>
      </c>
      <c r="U28" s="56">
        <f t="shared" si="3"/>
        <v>0</v>
      </c>
      <c r="V28" s="56">
        <f t="shared" si="3"/>
        <v>0</v>
      </c>
      <c r="W28" s="56">
        <f t="shared" si="3"/>
        <v>0</v>
      </c>
      <c r="X28" s="56">
        <f t="shared" si="3"/>
        <v>0</v>
      </c>
      <c r="Y28" s="56">
        <f t="shared" si="3"/>
        <v>0</v>
      </c>
      <c r="Z28" s="127">
        <f>SUM(B28:Y28)</f>
        <v>0</v>
      </c>
      <c r="AA28" s="128">
        <f t="shared" si="3"/>
        <v>0</v>
      </c>
      <c r="AB28" s="100">
        <f>Z28+AA28</f>
        <v>0</v>
      </c>
    </row>
    <row r="29" spans="1:28" ht="18" customHeight="1" thickBot="1" x14ac:dyDescent="0.3">
      <c r="A29" s="52" t="s">
        <v>63</v>
      </c>
      <c r="B29" s="56">
        <f>B18-B28</f>
        <v>0</v>
      </c>
      <c r="C29" s="56">
        <f t="shared" ref="C29:Y29" si="4">C18-C28</f>
        <v>0</v>
      </c>
      <c r="D29" s="56">
        <f t="shared" si="4"/>
        <v>0</v>
      </c>
      <c r="E29" s="56">
        <f t="shared" si="4"/>
        <v>0</v>
      </c>
      <c r="F29" s="56">
        <f t="shared" si="4"/>
        <v>0</v>
      </c>
      <c r="G29" s="56">
        <f t="shared" si="4"/>
        <v>0</v>
      </c>
      <c r="H29" s="56">
        <f t="shared" si="4"/>
        <v>0</v>
      </c>
      <c r="I29" s="56">
        <f t="shared" si="4"/>
        <v>0</v>
      </c>
      <c r="J29" s="56">
        <f t="shared" si="4"/>
        <v>0</v>
      </c>
      <c r="K29" s="56">
        <f t="shared" si="4"/>
        <v>0</v>
      </c>
      <c r="L29" s="56">
        <f t="shared" si="4"/>
        <v>0</v>
      </c>
      <c r="M29" s="56">
        <f t="shared" si="4"/>
        <v>0</v>
      </c>
      <c r="N29" s="56">
        <f t="shared" si="4"/>
        <v>0</v>
      </c>
      <c r="O29" s="56">
        <f t="shared" si="4"/>
        <v>0</v>
      </c>
      <c r="P29" s="56">
        <f t="shared" si="4"/>
        <v>0</v>
      </c>
      <c r="Q29" s="56">
        <f t="shared" si="4"/>
        <v>0</v>
      </c>
      <c r="R29" s="56">
        <f t="shared" si="4"/>
        <v>0</v>
      </c>
      <c r="S29" s="56">
        <f t="shared" si="4"/>
        <v>0</v>
      </c>
      <c r="T29" s="56">
        <f t="shared" si="4"/>
        <v>0</v>
      </c>
      <c r="U29" s="56">
        <f t="shared" si="4"/>
        <v>0</v>
      </c>
      <c r="V29" s="56">
        <f t="shared" si="4"/>
        <v>0</v>
      </c>
      <c r="W29" s="56">
        <f t="shared" si="4"/>
        <v>0</v>
      </c>
      <c r="X29" s="56">
        <f t="shared" si="4"/>
        <v>0</v>
      </c>
      <c r="Y29" s="56">
        <f t="shared" si="4"/>
        <v>0</v>
      </c>
      <c r="Z29" s="135">
        <f>SUM(B29:Y29)</f>
        <v>0</v>
      </c>
      <c r="AA29" s="144">
        <f>AA18-AA28</f>
        <v>0</v>
      </c>
      <c r="AB29" s="100">
        <f>Z29+AA29</f>
        <v>0</v>
      </c>
    </row>
    <row r="30" spans="1:28" ht="18" customHeight="1" thickBot="1" x14ac:dyDescent="0.3">
      <c r="A30" s="49"/>
      <c r="B30" s="129">
        <f>B28+B29</f>
        <v>0</v>
      </c>
      <c r="C30" s="129">
        <f t="shared" ref="C30:AA30" si="5">C28+C29</f>
        <v>0</v>
      </c>
      <c r="D30" s="129">
        <f t="shared" si="5"/>
        <v>0</v>
      </c>
      <c r="E30" s="129">
        <f t="shared" si="5"/>
        <v>0</v>
      </c>
      <c r="F30" s="129">
        <f t="shared" si="5"/>
        <v>0</v>
      </c>
      <c r="G30" s="129">
        <f t="shared" si="5"/>
        <v>0</v>
      </c>
      <c r="H30" s="129">
        <f t="shared" si="5"/>
        <v>0</v>
      </c>
      <c r="I30" s="129">
        <f t="shared" si="5"/>
        <v>0</v>
      </c>
      <c r="J30" s="129">
        <f t="shared" si="5"/>
        <v>0</v>
      </c>
      <c r="K30" s="129">
        <f t="shared" si="5"/>
        <v>0</v>
      </c>
      <c r="L30" s="129">
        <f t="shared" si="5"/>
        <v>0</v>
      </c>
      <c r="M30" s="129">
        <f t="shared" si="5"/>
        <v>0</v>
      </c>
      <c r="N30" s="129">
        <f t="shared" si="5"/>
        <v>0</v>
      </c>
      <c r="O30" s="129">
        <f t="shared" si="5"/>
        <v>0</v>
      </c>
      <c r="P30" s="129">
        <f t="shared" si="5"/>
        <v>0</v>
      </c>
      <c r="Q30" s="129">
        <f t="shared" si="5"/>
        <v>0</v>
      </c>
      <c r="R30" s="129">
        <f t="shared" si="5"/>
        <v>0</v>
      </c>
      <c r="S30" s="129">
        <f t="shared" si="5"/>
        <v>0</v>
      </c>
      <c r="T30" s="129">
        <f t="shared" si="5"/>
        <v>0</v>
      </c>
      <c r="U30" s="129">
        <f t="shared" si="5"/>
        <v>0</v>
      </c>
      <c r="V30" s="129">
        <f t="shared" si="5"/>
        <v>0</v>
      </c>
      <c r="W30" s="129">
        <f t="shared" si="5"/>
        <v>0</v>
      </c>
      <c r="X30" s="129">
        <f t="shared" si="5"/>
        <v>0</v>
      </c>
      <c r="Y30" s="129">
        <f t="shared" si="5"/>
        <v>0</v>
      </c>
      <c r="Z30" s="130">
        <f>Z28+Z29</f>
        <v>0</v>
      </c>
      <c r="AA30" s="131">
        <f t="shared" si="5"/>
        <v>0</v>
      </c>
      <c r="AB30" s="132">
        <f>SUM(AB28:AB29)</f>
        <v>0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0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0</v>
      </c>
      <c r="C38" s="71">
        <f>X28</f>
        <v>0</v>
      </c>
      <c r="D38" s="72">
        <f>Q28</f>
        <v>0</v>
      </c>
      <c r="E38" s="72">
        <f>S28</f>
        <v>0</v>
      </c>
      <c r="F38" s="72">
        <f>L28+M28+N28+R28+X28</f>
        <v>0</v>
      </c>
      <c r="G38" s="72">
        <f>P28</f>
        <v>0</v>
      </c>
      <c r="H38" s="72">
        <f>T28</f>
        <v>0</v>
      </c>
      <c r="I38" s="72">
        <f>V28</f>
        <v>0</v>
      </c>
      <c r="J38" s="72">
        <f>C28</f>
        <v>0</v>
      </c>
      <c r="K38" s="72">
        <f>O28</f>
        <v>0</v>
      </c>
      <c r="L38" s="72">
        <f>J28</f>
        <v>0</v>
      </c>
      <c r="M38" s="72">
        <f>B28+E28</f>
        <v>0</v>
      </c>
      <c r="N38" s="72">
        <f>U28</f>
        <v>0</v>
      </c>
      <c r="O38" s="73">
        <f>D28+K28</f>
        <v>0</v>
      </c>
      <c r="P38" s="72">
        <f>Y28</f>
        <v>0</v>
      </c>
      <c r="Q38" s="118">
        <f>SUM(B38:P38)</f>
        <v>0</v>
      </c>
      <c r="R38" s="42">
        <f>AA28</f>
        <v>0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0</v>
      </c>
      <c r="C40" s="80">
        <f t="shared" ref="C40:P40" si="6">C38*C39</f>
        <v>0</v>
      </c>
      <c r="D40" s="80">
        <f t="shared" si="6"/>
        <v>0</v>
      </c>
      <c r="E40" s="80">
        <f t="shared" si="6"/>
        <v>0</v>
      </c>
      <c r="F40" s="80">
        <f t="shared" si="6"/>
        <v>0</v>
      </c>
      <c r="G40" s="80">
        <f t="shared" si="6"/>
        <v>0</v>
      </c>
      <c r="H40" s="80">
        <f t="shared" si="6"/>
        <v>0</v>
      </c>
      <c r="I40" s="80">
        <f t="shared" si="6"/>
        <v>0</v>
      </c>
      <c r="J40" s="80">
        <f t="shared" si="6"/>
        <v>0</v>
      </c>
      <c r="K40" s="80">
        <f t="shared" si="6"/>
        <v>0</v>
      </c>
      <c r="L40" s="80">
        <f t="shared" si="6"/>
        <v>0</v>
      </c>
      <c r="M40" s="80">
        <f t="shared" si="6"/>
        <v>0</v>
      </c>
      <c r="N40" s="80">
        <f t="shared" si="6"/>
        <v>0</v>
      </c>
      <c r="O40" s="81">
        <f t="shared" si="6"/>
        <v>0</v>
      </c>
      <c r="P40" s="80">
        <f t="shared" si="6"/>
        <v>0</v>
      </c>
      <c r="Q40" s="138">
        <f>SUM(B40:P40)</f>
        <v>0</v>
      </c>
      <c r="R40" s="137">
        <f>R38*R39</f>
        <v>0</v>
      </c>
    </row>
    <row r="41" spans="1:28" ht="18" customHeight="1" thickBot="1" x14ac:dyDescent="0.3">
      <c r="A41" s="49" t="s">
        <v>4</v>
      </c>
      <c r="B41" s="82">
        <f>B38+B40</f>
        <v>0</v>
      </c>
      <c r="C41" s="83">
        <f t="shared" ref="C41:R41" si="7">C38+C40</f>
        <v>0</v>
      </c>
      <c r="D41" s="83">
        <f t="shared" si="7"/>
        <v>0</v>
      </c>
      <c r="E41" s="83">
        <f t="shared" si="7"/>
        <v>0</v>
      </c>
      <c r="F41" s="83">
        <f t="shared" si="7"/>
        <v>0</v>
      </c>
      <c r="G41" s="83">
        <f t="shared" si="7"/>
        <v>0</v>
      </c>
      <c r="H41" s="83">
        <f t="shared" si="7"/>
        <v>0</v>
      </c>
      <c r="I41" s="83">
        <f t="shared" si="7"/>
        <v>0</v>
      </c>
      <c r="J41" s="83">
        <f t="shared" si="7"/>
        <v>0</v>
      </c>
      <c r="K41" s="83">
        <f t="shared" si="7"/>
        <v>0</v>
      </c>
      <c r="L41" s="83">
        <f t="shared" si="7"/>
        <v>0</v>
      </c>
      <c r="M41" s="83">
        <f t="shared" si="7"/>
        <v>0</v>
      </c>
      <c r="N41" s="83">
        <f t="shared" si="7"/>
        <v>0</v>
      </c>
      <c r="O41" s="84">
        <f t="shared" si="7"/>
        <v>0</v>
      </c>
      <c r="P41" s="83">
        <f t="shared" si="7"/>
        <v>0</v>
      </c>
      <c r="Q41" s="120">
        <f>SUM(B41:P41)</f>
        <v>0</v>
      </c>
      <c r="R41" s="85">
        <f t="shared" si="7"/>
        <v>0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BCD6C-9F40-47EC-B65F-FBB130912271}">
  <sheetPr>
    <tabColor theme="9" tint="0.39997558519241921"/>
    <pageSetUpPr fitToPage="1"/>
  </sheetPr>
  <dimension ref="A1:AB41"/>
  <sheetViews>
    <sheetView tabSelected="1" zoomScale="90" zoomScaleNormal="90" workbookViewId="0">
      <selection activeCell="B2" sqref="B2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105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110</v>
      </c>
      <c r="X6" s="50" t="s">
        <v>109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0</v>
      </c>
      <c r="C7" s="36">
        <v>69026.429999999993</v>
      </c>
      <c r="D7" s="36">
        <v>47592.95</v>
      </c>
      <c r="E7" s="36">
        <v>48195.78</v>
      </c>
      <c r="F7" s="36">
        <v>41314.400000000001</v>
      </c>
      <c r="G7" s="36">
        <v>15143.4</v>
      </c>
      <c r="H7" s="36">
        <v>40210.730000000003</v>
      </c>
      <c r="I7" s="36">
        <v>27881.26</v>
      </c>
      <c r="J7" s="36">
        <v>42196.14</v>
      </c>
      <c r="K7" s="36">
        <v>18348.28</v>
      </c>
      <c r="L7" s="36">
        <v>27141.1</v>
      </c>
      <c r="M7" s="36">
        <v>37260.99</v>
      </c>
      <c r="N7" s="36">
        <v>67579.289999999994</v>
      </c>
      <c r="O7" s="36">
        <v>38655.760000000002</v>
      </c>
      <c r="P7" s="36">
        <v>50039.88</v>
      </c>
      <c r="Q7" s="36">
        <v>30706.240000000002</v>
      </c>
      <c r="R7" s="36">
        <v>48232.42</v>
      </c>
      <c r="S7" s="36">
        <v>43558.36</v>
      </c>
      <c r="T7" s="36">
        <v>32710.54</v>
      </c>
      <c r="U7" s="36">
        <v>33012.49</v>
      </c>
      <c r="V7" s="36">
        <v>51302.68</v>
      </c>
      <c r="W7" s="36">
        <v>42238.46</v>
      </c>
      <c r="X7" s="36">
        <v>32095.25</v>
      </c>
      <c r="Y7" s="36">
        <v>22048.68</v>
      </c>
      <c r="Z7" s="101">
        <f>SUM(B7:Y7)</f>
        <v>906491.51</v>
      </c>
      <c r="AA7" s="109">
        <v>19555.93</v>
      </c>
      <c r="AB7" s="93">
        <f>Z7+AA7</f>
        <v>926047.44000000006</v>
      </c>
    </row>
    <row r="8" spans="1:28" ht="17.25" customHeight="1" x14ac:dyDescent="0.25">
      <c r="A8" s="35" t="s">
        <v>6</v>
      </c>
      <c r="B8" s="36">
        <v>0</v>
      </c>
      <c r="C8" s="36">
        <v>1240.5</v>
      </c>
      <c r="D8" s="36">
        <v>785.65</v>
      </c>
      <c r="E8" s="36">
        <v>702.95</v>
      </c>
      <c r="F8" s="36">
        <v>661.6</v>
      </c>
      <c r="G8" s="36">
        <v>289.45</v>
      </c>
      <c r="H8" s="36">
        <v>661.6</v>
      </c>
      <c r="I8" s="36">
        <v>454.85</v>
      </c>
      <c r="J8" s="36">
        <v>827</v>
      </c>
      <c r="K8" s="36">
        <v>289.45</v>
      </c>
      <c r="L8" s="36">
        <v>496.2</v>
      </c>
      <c r="M8" s="36">
        <v>620.25</v>
      </c>
      <c r="N8" s="36">
        <v>1157.8</v>
      </c>
      <c r="O8" s="36">
        <v>702.95</v>
      </c>
      <c r="P8" s="36">
        <v>909.7</v>
      </c>
      <c r="Q8" s="36">
        <v>496.2</v>
      </c>
      <c r="R8" s="36">
        <v>1116.45</v>
      </c>
      <c r="S8" s="36">
        <v>702.95</v>
      </c>
      <c r="T8" s="36">
        <v>578.9</v>
      </c>
      <c r="U8" s="36">
        <v>454.85</v>
      </c>
      <c r="V8" s="36">
        <v>827</v>
      </c>
      <c r="W8" s="36">
        <v>661.6</v>
      </c>
      <c r="X8" s="36">
        <v>578.9</v>
      </c>
      <c r="Y8" s="36">
        <v>289.45</v>
      </c>
      <c r="Z8" s="101">
        <f>SUM(B8:Y8)</f>
        <v>15506.250000000004</v>
      </c>
      <c r="AA8" s="109">
        <v>289.45</v>
      </c>
      <c r="AB8" s="93">
        <f>Z8+AA8</f>
        <v>15795.700000000004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101">
        <f>SUM(B9:Y9)</f>
        <v>0</v>
      </c>
      <c r="AA9" s="109">
        <v>0</v>
      </c>
      <c r="AB9" s="93">
        <f>Z9+AA9</f>
        <v>0</v>
      </c>
    </row>
    <row r="10" spans="1:28" ht="18" customHeight="1" thickBot="1" x14ac:dyDescent="0.3">
      <c r="A10" s="35" t="s">
        <v>7</v>
      </c>
      <c r="B10" s="36">
        <v>0</v>
      </c>
      <c r="C10" s="36">
        <v>0.28999999999999998</v>
      </c>
      <c r="D10" s="36">
        <v>0.2</v>
      </c>
      <c r="E10" s="36">
        <v>0.13</v>
      </c>
      <c r="F10" s="36">
        <v>0.19</v>
      </c>
      <c r="G10" s="36">
        <v>0.16</v>
      </c>
      <c r="H10" s="36">
        <v>0.12</v>
      </c>
      <c r="I10" s="36">
        <v>0.1</v>
      </c>
      <c r="J10" s="36">
        <v>0.1</v>
      </c>
      <c r="K10" s="36">
        <v>7.0000000000000007E-2</v>
      </c>
      <c r="L10" s="36">
        <v>0.17</v>
      </c>
      <c r="M10" s="36">
        <v>0.21</v>
      </c>
      <c r="N10" s="36">
        <v>0.48</v>
      </c>
      <c r="O10" s="36">
        <v>0.14000000000000001</v>
      </c>
      <c r="P10" s="36">
        <v>0.22</v>
      </c>
      <c r="Q10" s="36">
        <v>0.08</v>
      </c>
      <c r="R10" s="36">
        <v>0.54</v>
      </c>
      <c r="S10" s="36">
        <v>0.14000000000000001</v>
      </c>
      <c r="T10" s="36">
        <v>0.14000000000000001</v>
      </c>
      <c r="U10" s="36">
        <v>0.1</v>
      </c>
      <c r="V10" s="36">
        <v>0.12</v>
      </c>
      <c r="W10" s="36">
        <v>0.14000000000000001</v>
      </c>
      <c r="X10" s="36">
        <v>0.18</v>
      </c>
      <c r="Y10" s="36">
        <v>0.1</v>
      </c>
      <c r="Z10" s="101">
        <f>SUM(B10:Y10)</f>
        <v>4.120000000000001</v>
      </c>
      <c r="AA10" s="109">
        <v>0.02</v>
      </c>
      <c r="AB10" s="93">
        <f>Z10+AA10</f>
        <v>4.1400000000000006</v>
      </c>
    </row>
    <row r="11" spans="1:28" ht="18" customHeight="1" thickBot="1" x14ac:dyDescent="0.3">
      <c r="A11" s="49" t="s">
        <v>19</v>
      </c>
      <c r="B11" s="89">
        <f>SUM(B7:B10)</f>
        <v>0</v>
      </c>
      <c r="C11" s="89">
        <f t="shared" ref="C11:X11" si="0">SUM(C7:C10)</f>
        <v>70267.219999999987</v>
      </c>
      <c r="D11" s="89">
        <f t="shared" si="0"/>
        <v>48378.799999999996</v>
      </c>
      <c r="E11" s="89">
        <f t="shared" si="0"/>
        <v>48898.859999999993</v>
      </c>
      <c r="F11" s="89">
        <f t="shared" si="0"/>
        <v>41976.19</v>
      </c>
      <c r="G11" s="89">
        <f t="shared" si="0"/>
        <v>15433.01</v>
      </c>
      <c r="H11" s="89">
        <f t="shared" si="0"/>
        <v>40872.450000000004</v>
      </c>
      <c r="I11" s="89">
        <f t="shared" si="0"/>
        <v>28336.209999999995</v>
      </c>
      <c r="J11" s="89">
        <f t="shared" si="0"/>
        <v>43023.24</v>
      </c>
      <c r="K11" s="89">
        <f t="shared" si="0"/>
        <v>18637.8</v>
      </c>
      <c r="L11" s="89">
        <f t="shared" si="0"/>
        <v>27637.469999999998</v>
      </c>
      <c r="M11" s="89">
        <f t="shared" si="0"/>
        <v>37881.449999999997</v>
      </c>
      <c r="N11" s="89">
        <f t="shared" si="0"/>
        <v>68737.569999999992</v>
      </c>
      <c r="O11" s="89">
        <f t="shared" si="0"/>
        <v>39358.85</v>
      </c>
      <c r="P11" s="89">
        <f t="shared" si="0"/>
        <v>50949.799999999996</v>
      </c>
      <c r="Q11" s="89">
        <f t="shared" si="0"/>
        <v>31202.520000000004</v>
      </c>
      <c r="R11" s="89">
        <f t="shared" si="0"/>
        <v>49349.409999999996</v>
      </c>
      <c r="S11" s="89">
        <f t="shared" si="0"/>
        <v>44261.45</v>
      </c>
      <c r="T11" s="89">
        <f t="shared" si="0"/>
        <v>33289.58</v>
      </c>
      <c r="U11" s="89">
        <f t="shared" si="0"/>
        <v>33467.439999999995</v>
      </c>
      <c r="V11" s="89">
        <f t="shared" si="0"/>
        <v>52129.8</v>
      </c>
      <c r="W11" s="89">
        <f t="shared" si="0"/>
        <v>42900.2</v>
      </c>
      <c r="X11" s="89">
        <f t="shared" si="0"/>
        <v>32674.33</v>
      </c>
      <c r="Y11" s="89">
        <f>SUM(Y7:Y10)</f>
        <v>22338.23</v>
      </c>
      <c r="Z11" s="140">
        <f>SUM(Z7:Z10)</f>
        <v>922001.88</v>
      </c>
      <c r="AA11" s="141">
        <f>SUM(AA7:AA10)</f>
        <v>19845.400000000001</v>
      </c>
      <c r="AB11" s="142">
        <f>SUM(AB7:AB10)</f>
        <v>941847.28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44.89</v>
      </c>
      <c r="C14" s="36">
        <v>491.46</v>
      </c>
      <c r="D14" s="36">
        <v>466.14</v>
      </c>
      <c r="E14" s="36">
        <v>437.56</v>
      </c>
      <c r="F14" s="36">
        <v>188.5</v>
      </c>
      <c r="G14" s="36">
        <v>155.30000000000001</v>
      </c>
      <c r="H14" s="36">
        <v>416.3</v>
      </c>
      <c r="I14" s="36">
        <v>275.05</v>
      </c>
      <c r="J14" s="36">
        <v>442.73</v>
      </c>
      <c r="K14" s="36">
        <v>297.8</v>
      </c>
      <c r="L14" s="36">
        <v>203.54</v>
      </c>
      <c r="M14" s="36">
        <v>575.41999999999996</v>
      </c>
      <c r="N14" s="36">
        <v>393.59</v>
      </c>
      <c r="O14" s="36">
        <v>451.4</v>
      </c>
      <c r="P14" s="36">
        <v>276.87</v>
      </c>
      <c r="Q14" s="36">
        <v>275.83999999999997</v>
      </c>
      <c r="R14" s="36">
        <v>405.13</v>
      </c>
      <c r="S14" s="36">
        <v>415.06</v>
      </c>
      <c r="T14" s="36">
        <v>490.43</v>
      </c>
      <c r="U14" s="36">
        <v>386.24</v>
      </c>
      <c r="V14" s="36">
        <v>958.24</v>
      </c>
      <c r="W14" s="36">
        <v>248.86</v>
      </c>
      <c r="X14" s="36">
        <v>636.67999999999995</v>
      </c>
      <c r="Y14" s="36">
        <v>321.77999999999997</v>
      </c>
      <c r="Z14" s="101">
        <f>SUM(B14:Y14)</f>
        <v>9254.8100000000013</v>
      </c>
      <c r="AA14" s="109">
        <v>300.44</v>
      </c>
      <c r="AB14" s="93">
        <f>Z14+AA14</f>
        <v>9555.2500000000018</v>
      </c>
    </row>
    <row r="15" spans="1:28" ht="18" customHeight="1" x14ac:dyDescent="0.25">
      <c r="A15" s="35" t="s">
        <v>8</v>
      </c>
      <c r="B15" s="36">
        <v>0</v>
      </c>
      <c r="C15" s="36">
        <v>735.1</v>
      </c>
      <c r="D15" s="36">
        <v>1214.5</v>
      </c>
      <c r="E15" s="36">
        <v>1000.45</v>
      </c>
      <c r="F15" s="36">
        <v>835.93</v>
      </c>
      <c r="G15" s="36">
        <v>737.99</v>
      </c>
      <c r="H15" s="36">
        <v>1345.85</v>
      </c>
      <c r="I15" s="36">
        <v>228.11</v>
      </c>
      <c r="J15" s="36">
        <v>2001.97</v>
      </c>
      <c r="K15" s="36">
        <v>291.33</v>
      </c>
      <c r="L15" s="36">
        <v>256.89</v>
      </c>
      <c r="M15" s="36">
        <v>595.76</v>
      </c>
      <c r="N15" s="36">
        <v>1085.53</v>
      </c>
      <c r="O15" s="36">
        <v>2047.48</v>
      </c>
      <c r="P15" s="36">
        <v>2038.46</v>
      </c>
      <c r="Q15" s="36">
        <v>576.01</v>
      </c>
      <c r="R15" s="36">
        <v>1616.29</v>
      </c>
      <c r="S15" s="36">
        <v>1906.48</v>
      </c>
      <c r="T15" s="36">
        <v>2495.21</v>
      </c>
      <c r="U15" s="36">
        <v>1195.07</v>
      </c>
      <c r="V15" s="36">
        <v>2142.46</v>
      </c>
      <c r="W15" s="36">
        <v>1702.83</v>
      </c>
      <c r="X15" s="36">
        <v>43.44</v>
      </c>
      <c r="Y15" s="36">
        <v>463.69</v>
      </c>
      <c r="Z15" s="101">
        <f>SUM(B15:Y15)</f>
        <v>26556.829999999994</v>
      </c>
      <c r="AA15" s="109">
        <v>699.06</v>
      </c>
      <c r="AB15" s="93">
        <f>Z15+AA15</f>
        <v>27255.889999999996</v>
      </c>
    </row>
    <row r="16" spans="1:28" ht="18" customHeight="1" x14ac:dyDescent="0.25">
      <c r="A16" s="35" t="s">
        <v>13</v>
      </c>
      <c r="B16" s="36">
        <v>0</v>
      </c>
      <c r="C16" s="36">
        <v>134.99</v>
      </c>
      <c r="D16" s="36">
        <v>0</v>
      </c>
      <c r="E16" s="36">
        <v>112.49</v>
      </c>
      <c r="F16" s="36">
        <v>109.23</v>
      </c>
      <c r="G16" s="36">
        <v>0</v>
      </c>
      <c r="H16" s="36">
        <v>0</v>
      </c>
      <c r="I16" s="36">
        <v>109.23</v>
      </c>
      <c r="J16" s="36">
        <v>313.54000000000002</v>
      </c>
      <c r="K16" s="36">
        <v>44.89</v>
      </c>
      <c r="L16" s="36">
        <v>115.55</v>
      </c>
      <c r="M16" s="36">
        <v>39.94</v>
      </c>
      <c r="N16" s="36">
        <v>126.71</v>
      </c>
      <c r="O16" s="36">
        <v>88.97</v>
      </c>
      <c r="P16" s="36">
        <v>134.97999999999999</v>
      </c>
      <c r="Q16" s="36">
        <v>132.85</v>
      </c>
      <c r="R16" s="36">
        <v>0</v>
      </c>
      <c r="S16" s="36">
        <v>161.21</v>
      </c>
      <c r="T16" s="36">
        <v>0</v>
      </c>
      <c r="U16" s="36">
        <v>98.61</v>
      </c>
      <c r="V16" s="36">
        <v>125.13</v>
      </c>
      <c r="W16" s="36">
        <v>54.84</v>
      </c>
      <c r="X16" s="36">
        <v>111.72</v>
      </c>
      <c r="Y16" s="36">
        <v>79.150000000000006</v>
      </c>
      <c r="Z16" s="101">
        <f>SUM(B16:Y16)</f>
        <v>2094.0299999999997</v>
      </c>
      <c r="AA16" s="109">
        <v>0</v>
      </c>
      <c r="AB16" s="93">
        <f>Z16+AA16</f>
        <v>2094.0299999999997</v>
      </c>
    </row>
    <row r="17" spans="1:28" ht="18" customHeight="1" thickBot="1" x14ac:dyDescent="0.3">
      <c r="A17" s="35" t="s">
        <v>22</v>
      </c>
      <c r="B17" s="36">
        <v>164.56</v>
      </c>
      <c r="C17" s="36">
        <v>543.63</v>
      </c>
      <c r="D17" s="36">
        <v>74.28</v>
      </c>
      <c r="E17" s="36">
        <v>171.41</v>
      </c>
      <c r="F17" s="36">
        <v>58.8</v>
      </c>
      <c r="G17" s="36">
        <v>0</v>
      </c>
      <c r="H17" s="36">
        <v>167.14</v>
      </c>
      <c r="I17" s="36">
        <v>0</v>
      </c>
      <c r="J17" s="36">
        <v>203.59</v>
      </c>
      <c r="K17" s="36">
        <v>0</v>
      </c>
      <c r="L17" s="36">
        <v>0</v>
      </c>
      <c r="M17" s="36">
        <v>363.96</v>
      </c>
      <c r="N17" s="36">
        <v>147.88</v>
      </c>
      <c r="O17" s="36">
        <v>0</v>
      </c>
      <c r="P17" s="36">
        <v>171.41</v>
      </c>
      <c r="Q17" s="36">
        <v>0</v>
      </c>
      <c r="R17" s="36">
        <v>758.64</v>
      </c>
      <c r="S17" s="36">
        <v>246.41</v>
      </c>
      <c r="T17" s="36">
        <v>0</v>
      </c>
      <c r="U17" s="36">
        <v>0</v>
      </c>
      <c r="V17" s="36">
        <v>0</v>
      </c>
      <c r="W17" s="36">
        <v>167.14</v>
      </c>
      <c r="X17" s="36">
        <v>73.94</v>
      </c>
      <c r="Y17" s="36">
        <v>161.94999999999999</v>
      </c>
      <c r="Z17" s="101">
        <f>SUM(B17:Y17)</f>
        <v>3474.7399999999993</v>
      </c>
      <c r="AA17" s="109">
        <v>0</v>
      </c>
      <c r="AB17" s="93">
        <f>Z17+AA17</f>
        <v>3474.7399999999993</v>
      </c>
    </row>
    <row r="18" spans="1:28" ht="18" customHeight="1" thickBot="1" x14ac:dyDescent="0.3">
      <c r="A18" s="85" t="s">
        <v>20</v>
      </c>
      <c r="B18" s="89">
        <f>SUM(B14:B17)</f>
        <v>209.45</v>
      </c>
      <c r="C18" s="89">
        <f t="shared" ref="C18:AB18" si="1">SUM(C14:C17)</f>
        <v>1905.1799999999998</v>
      </c>
      <c r="D18" s="89">
        <f t="shared" si="1"/>
        <v>1754.9199999999998</v>
      </c>
      <c r="E18" s="89">
        <f t="shared" si="1"/>
        <v>1721.91</v>
      </c>
      <c r="F18" s="89">
        <f t="shared" si="1"/>
        <v>1192.4599999999998</v>
      </c>
      <c r="G18" s="89">
        <f t="shared" si="1"/>
        <v>893.29</v>
      </c>
      <c r="H18" s="89">
        <f t="shared" si="1"/>
        <v>1929.29</v>
      </c>
      <c r="I18" s="89">
        <f t="shared" si="1"/>
        <v>612.39</v>
      </c>
      <c r="J18" s="89">
        <f t="shared" si="1"/>
        <v>2961.83</v>
      </c>
      <c r="K18" s="89">
        <f t="shared" si="1"/>
        <v>634.02</v>
      </c>
      <c r="L18" s="89">
        <f t="shared" si="1"/>
        <v>575.9799999999999</v>
      </c>
      <c r="M18" s="89">
        <f t="shared" si="1"/>
        <v>1575.08</v>
      </c>
      <c r="N18" s="89">
        <f t="shared" si="1"/>
        <v>1753.71</v>
      </c>
      <c r="O18" s="89">
        <f t="shared" si="1"/>
        <v>2587.85</v>
      </c>
      <c r="P18" s="89">
        <f t="shared" si="1"/>
        <v>2621.72</v>
      </c>
      <c r="Q18" s="89">
        <f t="shared" si="1"/>
        <v>984.69999999999993</v>
      </c>
      <c r="R18" s="89">
        <f t="shared" si="1"/>
        <v>2780.06</v>
      </c>
      <c r="S18" s="89">
        <f t="shared" si="1"/>
        <v>2729.16</v>
      </c>
      <c r="T18" s="89">
        <f t="shared" si="1"/>
        <v>2985.64</v>
      </c>
      <c r="U18" s="89">
        <f t="shared" si="1"/>
        <v>1679.9199999999998</v>
      </c>
      <c r="V18" s="89">
        <f t="shared" si="1"/>
        <v>3225.83</v>
      </c>
      <c r="W18" s="89">
        <f t="shared" si="1"/>
        <v>2173.67</v>
      </c>
      <c r="X18" s="89">
        <f t="shared" si="1"/>
        <v>865.78</v>
      </c>
      <c r="Y18" s="89">
        <f t="shared" si="1"/>
        <v>1026.57</v>
      </c>
      <c r="Z18" s="102">
        <f>SUM(Z14:Z17)</f>
        <v>41380.409999999996</v>
      </c>
      <c r="AA18" s="102">
        <f>SUM(AA14:AA17)</f>
        <v>999.5</v>
      </c>
      <c r="AB18" s="94">
        <f t="shared" si="1"/>
        <v>42379.909999999996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209.45</v>
      </c>
      <c r="C20" s="39">
        <f t="shared" ref="C20:AB20" si="2">SUM(C11,C18)</f>
        <v>72172.39999999998</v>
      </c>
      <c r="D20" s="39">
        <f t="shared" si="2"/>
        <v>50133.719999999994</v>
      </c>
      <c r="E20" s="39">
        <f t="shared" si="2"/>
        <v>50620.77</v>
      </c>
      <c r="F20" s="39">
        <f t="shared" si="2"/>
        <v>43168.65</v>
      </c>
      <c r="G20" s="39">
        <f t="shared" si="2"/>
        <v>16326.3</v>
      </c>
      <c r="H20" s="39">
        <f t="shared" si="2"/>
        <v>42801.740000000005</v>
      </c>
      <c r="I20" s="39">
        <f t="shared" si="2"/>
        <v>28948.599999999995</v>
      </c>
      <c r="J20" s="39">
        <f t="shared" si="2"/>
        <v>45985.07</v>
      </c>
      <c r="K20" s="39">
        <f t="shared" si="2"/>
        <v>19271.82</v>
      </c>
      <c r="L20" s="39">
        <f t="shared" si="2"/>
        <v>28213.449999999997</v>
      </c>
      <c r="M20" s="39">
        <f t="shared" si="2"/>
        <v>39456.53</v>
      </c>
      <c r="N20" s="39">
        <f t="shared" si="2"/>
        <v>70491.28</v>
      </c>
      <c r="O20" s="39">
        <f t="shared" si="2"/>
        <v>41946.7</v>
      </c>
      <c r="P20" s="39">
        <f t="shared" si="2"/>
        <v>53571.519999999997</v>
      </c>
      <c r="Q20" s="39">
        <f t="shared" si="2"/>
        <v>32187.220000000005</v>
      </c>
      <c r="R20" s="39">
        <f t="shared" si="2"/>
        <v>52129.469999999994</v>
      </c>
      <c r="S20" s="39">
        <f t="shared" si="2"/>
        <v>46990.61</v>
      </c>
      <c r="T20" s="39">
        <f t="shared" si="2"/>
        <v>36275.22</v>
      </c>
      <c r="U20" s="39">
        <f t="shared" si="2"/>
        <v>35147.359999999993</v>
      </c>
      <c r="V20" s="39">
        <f t="shared" si="2"/>
        <v>55355.630000000005</v>
      </c>
      <c r="W20" s="39">
        <f t="shared" si="2"/>
        <v>45073.869999999995</v>
      </c>
      <c r="X20" s="39">
        <f t="shared" si="2"/>
        <v>33540.11</v>
      </c>
      <c r="Y20" s="39">
        <f t="shared" si="2"/>
        <v>23364.799999999999</v>
      </c>
      <c r="Z20" s="139">
        <f>Z11+Z18</f>
        <v>963382.29</v>
      </c>
      <c r="AA20" s="143">
        <f>AA11+AA18</f>
        <v>20844.900000000001</v>
      </c>
      <c r="AB20" s="136">
        <f t="shared" si="2"/>
        <v>984227.19000000006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B18/(100%+B$27)</f>
        <v>189.54751131221718</v>
      </c>
      <c r="C28" s="56">
        <f t="shared" ref="C28:AA28" si="3">C18/(100%+C$27)</f>
        <v>1724.1447963800904</v>
      </c>
      <c r="D28" s="56">
        <f t="shared" si="3"/>
        <v>1591.7641723356007</v>
      </c>
      <c r="E28" s="56">
        <f t="shared" si="3"/>
        <v>1558.289592760181</v>
      </c>
      <c r="F28" s="56">
        <f t="shared" si="3"/>
        <v>1106.691415313225</v>
      </c>
      <c r="G28" s="56">
        <f t="shared" si="3"/>
        <v>829.03944315545243</v>
      </c>
      <c r="H28" s="56">
        <f t="shared" si="3"/>
        <v>1790.5243619489561</v>
      </c>
      <c r="I28" s="56">
        <f t="shared" si="3"/>
        <v>568.34338747099775</v>
      </c>
      <c r="J28" s="56">
        <f t="shared" si="3"/>
        <v>2680.389140271493</v>
      </c>
      <c r="K28" s="56">
        <f t="shared" si="3"/>
        <v>575.07482993197277</v>
      </c>
      <c r="L28" s="56">
        <f t="shared" si="3"/>
        <v>524.81093394077448</v>
      </c>
      <c r="M28" s="56">
        <f t="shared" si="3"/>
        <v>1435.1526195899773</v>
      </c>
      <c r="N28" s="56">
        <f t="shared" si="3"/>
        <v>1597.9134396355355</v>
      </c>
      <c r="O28" s="56">
        <f t="shared" si="3"/>
        <v>2368.7414187643021</v>
      </c>
      <c r="P28" s="56">
        <f t="shared" si="3"/>
        <v>2372.5972850678731</v>
      </c>
      <c r="Q28" s="56">
        <f t="shared" si="3"/>
        <v>905.47126436781605</v>
      </c>
      <c r="R28" s="56">
        <f t="shared" si="3"/>
        <v>2533.0842824601368</v>
      </c>
      <c r="S28" s="56">
        <f t="shared" si="3"/>
        <v>2464.2528216704291</v>
      </c>
      <c r="T28" s="56">
        <f t="shared" si="3"/>
        <v>2701.9366515837105</v>
      </c>
      <c r="U28" s="56">
        <f t="shared" si="3"/>
        <v>1520.2895927601808</v>
      </c>
      <c r="V28" s="56">
        <f t="shared" si="3"/>
        <v>2925.9229024943311</v>
      </c>
      <c r="W28" s="56">
        <f t="shared" si="3"/>
        <v>2017.327146171694</v>
      </c>
      <c r="X28" s="56">
        <f t="shared" si="3"/>
        <v>788.86560364464697</v>
      </c>
      <c r="Y28" s="56">
        <f t="shared" si="3"/>
        <v>943.97241379310344</v>
      </c>
      <c r="Z28" s="127">
        <f>SUM(B28:Y28)</f>
        <v>37714.147026824699</v>
      </c>
      <c r="AA28" s="128">
        <f t="shared" si="3"/>
        <v>922.21812142461704</v>
      </c>
      <c r="AB28" s="100">
        <f>Z28+AA28</f>
        <v>38636.365148249315</v>
      </c>
    </row>
    <row r="29" spans="1:28" ht="18" customHeight="1" thickBot="1" x14ac:dyDescent="0.3">
      <c r="A29" s="52" t="s">
        <v>63</v>
      </c>
      <c r="B29" s="56">
        <f>B18-B28</f>
        <v>19.902488687782807</v>
      </c>
      <c r="C29" s="56">
        <f t="shared" ref="C29:Y29" si="4">C18-C28</f>
        <v>181.03520361990945</v>
      </c>
      <c r="D29" s="56">
        <f t="shared" si="4"/>
        <v>163.15582766439911</v>
      </c>
      <c r="E29" s="56">
        <f t="shared" si="4"/>
        <v>163.62040723981909</v>
      </c>
      <c r="F29" s="56">
        <f t="shared" si="4"/>
        <v>85.76858468677483</v>
      </c>
      <c r="G29" s="56">
        <f t="shared" si="4"/>
        <v>64.250556844547532</v>
      </c>
      <c r="H29" s="56">
        <f t="shared" si="4"/>
        <v>138.76563805104388</v>
      </c>
      <c r="I29" s="56">
        <f t="shared" si="4"/>
        <v>44.046612529002232</v>
      </c>
      <c r="J29" s="56">
        <f t="shared" si="4"/>
        <v>281.44085972850689</v>
      </c>
      <c r="K29" s="56">
        <f t="shared" si="4"/>
        <v>58.94517006802721</v>
      </c>
      <c r="L29" s="56">
        <f t="shared" si="4"/>
        <v>51.169066059225429</v>
      </c>
      <c r="M29" s="56">
        <f t="shared" si="4"/>
        <v>139.92738041002258</v>
      </c>
      <c r="N29" s="56">
        <f t="shared" si="4"/>
        <v>155.79656036446454</v>
      </c>
      <c r="O29" s="56">
        <f t="shared" si="4"/>
        <v>219.10858123569778</v>
      </c>
      <c r="P29" s="56">
        <f t="shared" si="4"/>
        <v>249.12271493212666</v>
      </c>
      <c r="Q29" s="56">
        <f t="shared" si="4"/>
        <v>79.228735632183884</v>
      </c>
      <c r="R29" s="56">
        <f t="shared" si="4"/>
        <v>246.97571753986313</v>
      </c>
      <c r="S29" s="56">
        <f t="shared" si="4"/>
        <v>264.9071783295708</v>
      </c>
      <c r="T29" s="56">
        <f t="shared" si="4"/>
        <v>283.70334841628937</v>
      </c>
      <c r="U29" s="56">
        <f t="shared" si="4"/>
        <v>159.63040723981908</v>
      </c>
      <c r="V29" s="56">
        <f t="shared" si="4"/>
        <v>299.90709750566884</v>
      </c>
      <c r="W29" s="56">
        <f t="shared" si="4"/>
        <v>156.34285382830603</v>
      </c>
      <c r="X29" s="56">
        <f t="shared" si="4"/>
        <v>76.914396355353006</v>
      </c>
      <c r="Y29" s="56">
        <f t="shared" si="4"/>
        <v>82.597586206896494</v>
      </c>
      <c r="Z29" s="135">
        <f>SUM(B29:Y29)</f>
        <v>3666.2629731753004</v>
      </c>
      <c r="AA29" s="144">
        <f>AA18-AA28</f>
        <v>77.281878575382962</v>
      </c>
      <c r="AB29" s="100">
        <f>Z29+AA29</f>
        <v>3743.5448517506834</v>
      </c>
    </row>
    <row r="30" spans="1:28" ht="18" customHeight="1" thickBot="1" x14ac:dyDescent="0.3">
      <c r="A30" s="49"/>
      <c r="B30" s="129">
        <f>B28+B29</f>
        <v>209.45</v>
      </c>
      <c r="C30" s="129">
        <f t="shared" ref="C30:AA30" si="5">C28+C29</f>
        <v>1905.1799999999998</v>
      </c>
      <c r="D30" s="129">
        <f t="shared" si="5"/>
        <v>1754.9199999999998</v>
      </c>
      <c r="E30" s="129">
        <f t="shared" si="5"/>
        <v>1721.91</v>
      </c>
      <c r="F30" s="129">
        <f t="shared" si="5"/>
        <v>1192.4599999999998</v>
      </c>
      <c r="G30" s="129">
        <f t="shared" si="5"/>
        <v>893.29</v>
      </c>
      <c r="H30" s="129">
        <f t="shared" si="5"/>
        <v>1929.29</v>
      </c>
      <c r="I30" s="129">
        <f t="shared" si="5"/>
        <v>612.39</v>
      </c>
      <c r="J30" s="129">
        <f t="shared" si="5"/>
        <v>2961.83</v>
      </c>
      <c r="K30" s="129">
        <f t="shared" si="5"/>
        <v>634.02</v>
      </c>
      <c r="L30" s="129">
        <f t="shared" si="5"/>
        <v>575.9799999999999</v>
      </c>
      <c r="M30" s="129">
        <f t="shared" si="5"/>
        <v>1575.08</v>
      </c>
      <c r="N30" s="129">
        <f t="shared" si="5"/>
        <v>1753.71</v>
      </c>
      <c r="O30" s="129">
        <f t="shared" si="5"/>
        <v>2587.85</v>
      </c>
      <c r="P30" s="129">
        <f t="shared" si="5"/>
        <v>2621.72</v>
      </c>
      <c r="Q30" s="129">
        <f t="shared" si="5"/>
        <v>984.69999999999993</v>
      </c>
      <c r="R30" s="129">
        <f t="shared" si="5"/>
        <v>2780.06</v>
      </c>
      <c r="S30" s="129">
        <f t="shared" si="5"/>
        <v>2729.16</v>
      </c>
      <c r="T30" s="129">
        <f t="shared" si="5"/>
        <v>2985.64</v>
      </c>
      <c r="U30" s="129">
        <f t="shared" si="5"/>
        <v>1679.9199999999998</v>
      </c>
      <c r="V30" s="129">
        <f t="shared" si="5"/>
        <v>3225.83</v>
      </c>
      <c r="W30" s="129">
        <f t="shared" si="5"/>
        <v>2173.67</v>
      </c>
      <c r="X30" s="129">
        <f t="shared" si="5"/>
        <v>865.78</v>
      </c>
      <c r="Y30" s="129">
        <f t="shared" si="5"/>
        <v>1026.57</v>
      </c>
      <c r="Z30" s="130">
        <f>Z28+Z29</f>
        <v>41380.410000000003</v>
      </c>
      <c r="AA30" s="131">
        <f t="shared" si="5"/>
        <v>999.5</v>
      </c>
      <c r="AB30" s="132">
        <f>SUM(AB28:AB29)</f>
        <v>42379.909999999996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980483.64514824934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2017.327146171694</v>
      </c>
      <c r="C38" s="71">
        <f>X28</f>
        <v>788.86560364464697</v>
      </c>
      <c r="D38" s="72">
        <f>Q28</f>
        <v>905.47126436781605</v>
      </c>
      <c r="E38" s="72">
        <f>S28</f>
        <v>2464.2528216704291</v>
      </c>
      <c r="F38" s="72">
        <f>L28+M28+N28+R28+X28</f>
        <v>6879.8268792710714</v>
      </c>
      <c r="G38" s="72">
        <f>P28</f>
        <v>2372.5972850678731</v>
      </c>
      <c r="H38" s="72">
        <f>T28</f>
        <v>2701.9366515837105</v>
      </c>
      <c r="I38" s="72">
        <f>V28</f>
        <v>2925.9229024943311</v>
      </c>
      <c r="J38" s="72">
        <f>C28</f>
        <v>1724.1447963800904</v>
      </c>
      <c r="K38" s="72">
        <f>O28</f>
        <v>2368.7414187643021</v>
      </c>
      <c r="L38" s="72">
        <f>J28</f>
        <v>2680.389140271493</v>
      </c>
      <c r="M38" s="72">
        <f>B28+E28</f>
        <v>1747.8371040723982</v>
      </c>
      <c r="N38" s="72">
        <f>U28</f>
        <v>1520.2895927601808</v>
      </c>
      <c r="O38" s="73">
        <f>D28+K28</f>
        <v>2166.8390022675735</v>
      </c>
      <c r="P38" s="72">
        <f>Y28</f>
        <v>943.97241379310344</v>
      </c>
      <c r="Q38" s="118">
        <f>SUM(B38:P38)</f>
        <v>34208.414022580713</v>
      </c>
      <c r="R38" s="42">
        <f>AA28</f>
        <v>922.21812142461704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156.34285382830629</v>
      </c>
      <c r="C40" s="80">
        <f t="shared" ref="C40:P40" si="6">C38*C39</f>
        <v>61.137084282460137</v>
      </c>
      <c r="D40" s="80">
        <f t="shared" si="6"/>
        <v>79.228735632183898</v>
      </c>
      <c r="E40" s="80">
        <f t="shared" si="6"/>
        <v>264.90717832957114</v>
      </c>
      <c r="F40" s="80">
        <f t="shared" si="6"/>
        <v>670.78312072892948</v>
      </c>
      <c r="G40" s="80">
        <f t="shared" si="6"/>
        <v>249.12271493212668</v>
      </c>
      <c r="H40" s="80">
        <f t="shared" si="6"/>
        <v>283.7033484162896</v>
      </c>
      <c r="I40" s="80">
        <f t="shared" si="6"/>
        <v>299.9070975056689</v>
      </c>
      <c r="J40" s="80">
        <f t="shared" si="6"/>
        <v>181.03520361990948</v>
      </c>
      <c r="K40" s="80">
        <f t="shared" si="6"/>
        <v>219.10858123569795</v>
      </c>
      <c r="L40" s="80">
        <f t="shared" si="6"/>
        <v>281.44085972850678</v>
      </c>
      <c r="M40" s="80">
        <f t="shared" si="6"/>
        <v>183.52289592760181</v>
      </c>
      <c r="N40" s="80">
        <f t="shared" si="6"/>
        <v>159.63040723981896</v>
      </c>
      <c r="O40" s="81">
        <f t="shared" si="6"/>
        <v>222.10099773242626</v>
      </c>
      <c r="P40" s="80">
        <f t="shared" si="6"/>
        <v>82.597586206896551</v>
      </c>
      <c r="Q40" s="138">
        <f>SUM(B40:P40)</f>
        <v>3394.568665346394</v>
      </c>
      <c r="R40" s="137">
        <f>R38*R39</f>
        <v>77.281878575382905</v>
      </c>
    </row>
    <row r="41" spans="1:28" ht="18" customHeight="1" thickBot="1" x14ac:dyDescent="0.3">
      <c r="A41" s="49" t="s">
        <v>4</v>
      </c>
      <c r="B41" s="82">
        <f>B38+B40</f>
        <v>2173.6700000000005</v>
      </c>
      <c r="C41" s="83">
        <f t="shared" ref="C41:R41" si="7">C38+C40</f>
        <v>850.0026879271071</v>
      </c>
      <c r="D41" s="83">
        <f t="shared" si="7"/>
        <v>984.69999999999993</v>
      </c>
      <c r="E41" s="83">
        <f t="shared" si="7"/>
        <v>2729.1600000000003</v>
      </c>
      <c r="F41" s="83">
        <f t="shared" si="7"/>
        <v>7550.6100000000006</v>
      </c>
      <c r="G41" s="83">
        <f t="shared" si="7"/>
        <v>2621.72</v>
      </c>
      <c r="H41" s="83">
        <f t="shared" si="7"/>
        <v>2985.6400000000003</v>
      </c>
      <c r="I41" s="83">
        <f t="shared" si="7"/>
        <v>3225.83</v>
      </c>
      <c r="J41" s="83">
        <f t="shared" si="7"/>
        <v>1905.1799999999998</v>
      </c>
      <c r="K41" s="83">
        <f t="shared" si="7"/>
        <v>2587.85</v>
      </c>
      <c r="L41" s="83">
        <f t="shared" si="7"/>
        <v>2961.83</v>
      </c>
      <c r="M41" s="83">
        <f t="shared" si="7"/>
        <v>1931.3600000000001</v>
      </c>
      <c r="N41" s="83">
        <f t="shared" si="7"/>
        <v>1679.9199999999996</v>
      </c>
      <c r="O41" s="84">
        <f t="shared" si="7"/>
        <v>2388.9399999999996</v>
      </c>
      <c r="P41" s="83">
        <f t="shared" si="7"/>
        <v>1026.57</v>
      </c>
      <c r="Q41" s="120">
        <f>SUM(B41:P41)</f>
        <v>37602.982687927113</v>
      </c>
      <c r="R41" s="85">
        <f t="shared" si="7"/>
        <v>999.5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1E1C1-CF5A-4682-9153-2F4B2D43017F}">
  <sheetPr>
    <tabColor theme="1"/>
    <pageSetUpPr fitToPage="1"/>
  </sheetPr>
  <dimension ref="A1:AB41"/>
  <sheetViews>
    <sheetView topLeftCell="C1" zoomScale="90" zoomScaleNormal="90" workbookViewId="0">
      <selection activeCell="AA20" sqref="AA20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104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241.24</v>
      </c>
      <c r="C7" s="36">
        <v>65980.820000000007</v>
      </c>
      <c r="D7" s="36">
        <v>50993.36</v>
      </c>
      <c r="E7" s="36">
        <v>54632.480000000003</v>
      </c>
      <c r="F7" s="36">
        <v>46805.62</v>
      </c>
      <c r="G7" s="36">
        <v>24251.79</v>
      </c>
      <c r="H7" s="36">
        <v>39758</v>
      </c>
      <c r="I7" s="36">
        <v>25769.3</v>
      </c>
      <c r="J7" s="36">
        <v>46959.32</v>
      </c>
      <c r="K7" s="36">
        <v>22947</v>
      </c>
      <c r="L7" s="36">
        <v>24330.73</v>
      </c>
      <c r="M7" s="36">
        <v>45324.06</v>
      </c>
      <c r="N7" s="36">
        <v>74060.240000000005</v>
      </c>
      <c r="O7" s="36">
        <v>40500.239999999998</v>
      </c>
      <c r="P7" s="36">
        <v>54743.98</v>
      </c>
      <c r="Q7" s="36">
        <v>30932.74</v>
      </c>
      <c r="R7" s="36">
        <v>51307.519999999997</v>
      </c>
      <c r="S7" s="36">
        <v>50553.16</v>
      </c>
      <c r="T7" s="36">
        <v>34320.46</v>
      </c>
      <c r="U7" s="36">
        <v>33018.620000000003</v>
      </c>
      <c r="V7" s="36">
        <v>54196.12</v>
      </c>
      <c r="W7" s="36">
        <v>42079.42</v>
      </c>
      <c r="X7" s="36">
        <v>37332.019999999997</v>
      </c>
      <c r="Y7" s="36">
        <v>21411.3</v>
      </c>
      <c r="Z7" s="101">
        <f>SUM(B7:Y7)</f>
        <v>972449.54000000015</v>
      </c>
      <c r="AA7" s="109">
        <v>27154.84</v>
      </c>
      <c r="AB7" s="93">
        <f>Z7+AA7</f>
        <v>999604.38000000012</v>
      </c>
    </row>
    <row r="8" spans="1:28" ht="17.25" customHeight="1" x14ac:dyDescent="0.25">
      <c r="A8" s="35" t="s">
        <v>6</v>
      </c>
      <c r="B8" s="36">
        <v>0</v>
      </c>
      <c r="C8" s="36">
        <v>1116.45</v>
      </c>
      <c r="D8" s="36">
        <v>951.05</v>
      </c>
      <c r="E8" s="36">
        <v>702.95</v>
      </c>
      <c r="F8" s="36">
        <v>702.95</v>
      </c>
      <c r="G8" s="36">
        <v>330.8</v>
      </c>
      <c r="H8" s="36">
        <v>661.6</v>
      </c>
      <c r="I8" s="36">
        <v>413.5</v>
      </c>
      <c r="J8" s="36">
        <v>868.35</v>
      </c>
      <c r="K8" s="36">
        <v>537.54999999999995</v>
      </c>
      <c r="L8" s="36">
        <v>413.5</v>
      </c>
      <c r="M8" s="36">
        <v>744.3</v>
      </c>
      <c r="N8" s="36">
        <v>1075.0999999999999</v>
      </c>
      <c r="O8" s="36">
        <v>620.25</v>
      </c>
      <c r="P8" s="36">
        <v>909.7</v>
      </c>
      <c r="Q8" s="36">
        <v>496.2</v>
      </c>
      <c r="R8" s="36">
        <v>992.4</v>
      </c>
      <c r="S8" s="36">
        <v>744.3</v>
      </c>
      <c r="T8" s="36">
        <v>578.9</v>
      </c>
      <c r="U8" s="36">
        <v>413.5</v>
      </c>
      <c r="V8" s="36">
        <v>1240.5</v>
      </c>
      <c r="W8" s="36">
        <v>620.25</v>
      </c>
      <c r="X8" s="36">
        <v>537.54999999999995</v>
      </c>
      <c r="Y8" s="36">
        <v>330.8</v>
      </c>
      <c r="Z8" s="101">
        <f>SUM(B8:Y8)</f>
        <v>16002.449999999999</v>
      </c>
      <c r="AA8" s="109">
        <v>206.75</v>
      </c>
      <c r="AB8" s="93">
        <f>Z8+AA8</f>
        <v>16209.199999999999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101">
        <f>SUM(B9:Y9)</f>
        <v>0</v>
      </c>
      <c r="AA9" s="109">
        <v>0</v>
      </c>
      <c r="AB9" s="93">
        <f>Z9+AA9</f>
        <v>0</v>
      </c>
    </row>
    <row r="10" spans="1:28" ht="18" customHeight="1" thickBot="1" x14ac:dyDescent="0.3">
      <c r="A10" s="35" t="s">
        <v>7</v>
      </c>
      <c r="B10" s="36">
        <v>0</v>
      </c>
      <c r="C10" s="36">
        <v>0.31</v>
      </c>
      <c r="D10" s="36">
        <v>0.2</v>
      </c>
      <c r="E10" s="36">
        <v>0.1</v>
      </c>
      <c r="F10" s="36">
        <v>0.18</v>
      </c>
      <c r="G10" s="36">
        <v>0.18</v>
      </c>
      <c r="H10" s="36">
        <v>0.13</v>
      </c>
      <c r="I10" s="36">
        <v>0.14000000000000001</v>
      </c>
      <c r="J10" s="36">
        <v>0.17</v>
      </c>
      <c r="K10" s="36">
        <v>7.0000000000000007E-2</v>
      </c>
      <c r="L10" s="36">
        <v>0.16</v>
      </c>
      <c r="M10" s="36">
        <v>0.22</v>
      </c>
      <c r="N10" s="36">
        <v>0.3</v>
      </c>
      <c r="O10" s="36">
        <v>0.14000000000000001</v>
      </c>
      <c r="P10" s="36">
        <v>0.15</v>
      </c>
      <c r="Q10" s="36">
        <v>0.13</v>
      </c>
      <c r="R10" s="36">
        <v>0.64</v>
      </c>
      <c r="S10" s="36">
        <v>0.2</v>
      </c>
      <c r="T10" s="36">
        <v>0.15</v>
      </c>
      <c r="U10" s="36">
        <v>0.06</v>
      </c>
      <c r="V10" s="36">
        <v>0.21</v>
      </c>
      <c r="W10" s="36">
        <v>0.13</v>
      </c>
      <c r="X10" s="36">
        <v>0.14000000000000001</v>
      </c>
      <c r="Y10" s="36">
        <v>0.1</v>
      </c>
      <c r="Z10" s="101">
        <f>SUM(B10:Y10)</f>
        <v>4.21</v>
      </c>
      <c r="AA10" s="109">
        <v>150.11000000000001</v>
      </c>
      <c r="AB10" s="93">
        <f>Z10+AA10</f>
        <v>154.32000000000002</v>
      </c>
    </row>
    <row r="11" spans="1:28" ht="18" customHeight="1" thickBot="1" x14ac:dyDescent="0.3">
      <c r="A11" s="49" t="s">
        <v>19</v>
      </c>
      <c r="B11" s="89">
        <f>SUM(B7:B10)</f>
        <v>241.24</v>
      </c>
      <c r="C11" s="89">
        <f t="shared" ref="C11:X11" si="0">SUM(C7:C10)</f>
        <v>67097.58</v>
      </c>
      <c r="D11" s="89">
        <f t="shared" si="0"/>
        <v>51944.61</v>
      </c>
      <c r="E11" s="89">
        <f t="shared" si="0"/>
        <v>55335.53</v>
      </c>
      <c r="F11" s="89">
        <f t="shared" si="0"/>
        <v>47508.75</v>
      </c>
      <c r="G11" s="89">
        <f t="shared" si="0"/>
        <v>24582.77</v>
      </c>
      <c r="H11" s="89">
        <f t="shared" si="0"/>
        <v>40419.729999999996</v>
      </c>
      <c r="I11" s="89">
        <f t="shared" si="0"/>
        <v>26182.94</v>
      </c>
      <c r="J11" s="89">
        <f t="shared" si="0"/>
        <v>47827.839999999997</v>
      </c>
      <c r="K11" s="89">
        <f t="shared" si="0"/>
        <v>23484.62</v>
      </c>
      <c r="L11" s="89">
        <f t="shared" si="0"/>
        <v>24744.39</v>
      </c>
      <c r="M11" s="89">
        <f t="shared" si="0"/>
        <v>46068.58</v>
      </c>
      <c r="N11" s="89">
        <f t="shared" si="0"/>
        <v>75135.640000000014</v>
      </c>
      <c r="O11" s="89">
        <f t="shared" si="0"/>
        <v>41120.629999999997</v>
      </c>
      <c r="P11" s="89">
        <f t="shared" si="0"/>
        <v>55653.83</v>
      </c>
      <c r="Q11" s="89">
        <f t="shared" si="0"/>
        <v>31429.070000000003</v>
      </c>
      <c r="R11" s="89">
        <f t="shared" si="0"/>
        <v>52300.56</v>
      </c>
      <c r="S11" s="89">
        <f t="shared" si="0"/>
        <v>51297.66</v>
      </c>
      <c r="T11" s="89">
        <f t="shared" si="0"/>
        <v>34899.51</v>
      </c>
      <c r="U11" s="89">
        <f t="shared" si="0"/>
        <v>33432.18</v>
      </c>
      <c r="V11" s="89">
        <f t="shared" si="0"/>
        <v>55436.83</v>
      </c>
      <c r="W11" s="89">
        <f t="shared" si="0"/>
        <v>42699.799999999996</v>
      </c>
      <c r="X11" s="89">
        <f t="shared" si="0"/>
        <v>37869.71</v>
      </c>
      <c r="Y11" s="89">
        <f>SUM(Y7:Y10)</f>
        <v>21742.199999999997</v>
      </c>
      <c r="Z11" s="140">
        <f>SUM(Z7:Z10)</f>
        <v>988456.20000000007</v>
      </c>
      <c r="AA11" s="141">
        <f>SUM(AA7:AA10)</f>
        <v>27511.7</v>
      </c>
      <c r="AB11" s="142">
        <f>SUM(AB7:AB10)</f>
        <v>1015967.9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0</v>
      </c>
      <c r="C14" s="36">
        <v>452.8</v>
      </c>
      <c r="D14" s="36">
        <v>391.78</v>
      </c>
      <c r="E14" s="36">
        <v>552.29</v>
      </c>
      <c r="F14" s="36">
        <v>150.80000000000001</v>
      </c>
      <c r="G14" s="36">
        <v>217.41</v>
      </c>
      <c r="H14" s="36">
        <v>318.82</v>
      </c>
      <c r="I14" s="36">
        <v>347.73</v>
      </c>
      <c r="J14" s="36">
        <v>366.65</v>
      </c>
      <c r="K14" s="36">
        <v>119.14</v>
      </c>
      <c r="L14" s="36">
        <v>203.54</v>
      </c>
      <c r="M14" s="36">
        <v>545.97</v>
      </c>
      <c r="N14" s="36">
        <v>521.15</v>
      </c>
      <c r="O14" s="36">
        <v>444.08</v>
      </c>
      <c r="P14" s="36">
        <v>238.2</v>
      </c>
      <c r="Q14" s="36">
        <v>281.16000000000003</v>
      </c>
      <c r="R14" s="36">
        <v>307.83999999999997</v>
      </c>
      <c r="S14" s="36">
        <v>468.25</v>
      </c>
      <c r="T14" s="36">
        <v>356.6</v>
      </c>
      <c r="U14" s="36">
        <v>329.73</v>
      </c>
      <c r="V14" s="36">
        <v>595.82000000000005</v>
      </c>
      <c r="W14" s="36">
        <v>315.47000000000003</v>
      </c>
      <c r="X14" s="36">
        <v>590.54999999999995</v>
      </c>
      <c r="Y14" s="36">
        <v>380.12</v>
      </c>
      <c r="Z14" s="101">
        <f>SUM(B14:Y14)</f>
        <v>8495.9000000000015</v>
      </c>
      <c r="AA14" s="109">
        <v>189.42</v>
      </c>
      <c r="AB14" s="93">
        <f>Z14+AA14</f>
        <v>8685.3200000000015</v>
      </c>
    </row>
    <row r="15" spans="1:28" ht="18" customHeight="1" x14ac:dyDescent="0.25">
      <c r="A15" s="35" t="s">
        <v>8</v>
      </c>
      <c r="B15" s="36">
        <v>260.55</v>
      </c>
      <c r="C15" s="36">
        <v>1549.9</v>
      </c>
      <c r="D15" s="36">
        <v>770.18</v>
      </c>
      <c r="E15" s="36">
        <v>1440.35</v>
      </c>
      <c r="F15" s="36">
        <v>585.69000000000005</v>
      </c>
      <c r="G15" s="36">
        <v>450.68</v>
      </c>
      <c r="H15" s="36">
        <v>450.41</v>
      </c>
      <c r="I15" s="36">
        <v>1091.3399999999999</v>
      </c>
      <c r="J15" s="36">
        <v>207.36</v>
      </c>
      <c r="K15" s="36">
        <v>883.61</v>
      </c>
      <c r="L15" s="36">
        <v>910.84</v>
      </c>
      <c r="M15" s="36">
        <v>531.38</v>
      </c>
      <c r="N15" s="36">
        <v>1525.03</v>
      </c>
      <c r="O15" s="36">
        <v>682.9</v>
      </c>
      <c r="P15" s="36">
        <v>943.64</v>
      </c>
      <c r="Q15" s="36">
        <v>295.07</v>
      </c>
      <c r="R15" s="36">
        <v>921.25</v>
      </c>
      <c r="S15" s="36">
        <v>121.83</v>
      </c>
      <c r="T15" s="36">
        <v>1608.44</v>
      </c>
      <c r="U15" s="36">
        <v>494.31</v>
      </c>
      <c r="V15" s="36">
        <v>456.12</v>
      </c>
      <c r="W15" s="36">
        <v>1006.17</v>
      </c>
      <c r="X15" s="36">
        <v>502.27</v>
      </c>
      <c r="Y15" s="36">
        <v>1558.35</v>
      </c>
      <c r="Z15" s="101">
        <f>SUM(B15:Y15)</f>
        <v>19247.669999999998</v>
      </c>
      <c r="AA15" s="109">
        <v>377.58</v>
      </c>
      <c r="AB15" s="93">
        <f>Z15+AA15</f>
        <v>19625.25</v>
      </c>
    </row>
    <row r="16" spans="1:28" ht="18" customHeight="1" x14ac:dyDescent="0.25">
      <c r="A16" s="35" t="s">
        <v>13</v>
      </c>
      <c r="B16" s="36">
        <v>0</v>
      </c>
      <c r="C16" s="36">
        <v>147.44</v>
      </c>
      <c r="D16" s="36">
        <v>312.83</v>
      </c>
      <c r="E16" s="36">
        <v>134.04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26.75</v>
      </c>
      <c r="L16" s="36">
        <v>48.98</v>
      </c>
      <c r="M16" s="36">
        <v>0</v>
      </c>
      <c r="N16" s="36">
        <v>137.88</v>
      </c>
      <c r="O16" s="36">
        <v>0</v>
      </c>
      <c r="P16" s="36">
        <v>456.68</v>
      </c>
      <c r="Q16" s="36">
        <v>0</v>
      </c>
      <c r="R16" s="36">
        <v>55.86</v>
      </c>
      <c r="S16" s="36">
        <v>0</v>
      </c>
      <c r="T16" s="36">
        <v>246.53</v>
      </c>
      <c r="U16" s="36">
        <v>157.02000000000001</v>
      </c>
      <c r="V16" s="36">
        <v>0</v>
      </c>
      <c r="W16" s="36">
        <v>65.349999999999994</v>
      </c>
      <c r="X16" s="36">
        <v>0</v>
      </c>
      <c r="Y16" s="36">
        <v>66.42</v>
      </c>
      <c r="Z16" s="101">
        <f>SUM(B16:Y16)</f>
        <v>1855.7799999999997</v>
      </c>
      <c r="AA16" s="109">
        <v>39.44</v>
      </c>
      <c r="AB16" s="93">
        <f>Z16+AA16</f>
        <v>1895.2199999999998</v>
      </c>
    </row>
    <row r="17" spans="1:28" ht="18" customHeight="1" thickBot="1" x14ac:dyDescent="0.3">
      <c r="A17" s="35" t="s">
        <v>22</v>
      </c>
      <c r="B17" s="36">
        <v>0</v>
      </c>
      <c r="C17" s="36">
        <v>611.22</v>
      </c>
      <c r="D17" s="36">
        <v>171.02</v>
      </c>
      <c r="E17" s="36">
        <v>171.41</v>
      </c>
      <c r="F17" s="36">
        <v>225.94</v>
      </c>
      <c r="G17" s="36">
        <v>0</v>
      </c>
      <c r="H17" s="36">
        <v>160.46</v>
      </c>
      <c r="I17" s="36">
        <v>167.14</v>
      </c>
      <c r="J17" s="36">
        <v>0</v>
      </c>
      <c r="K17" s="36">
        <v>24.99</v>
      </c>
      <c r="L17" s="36">
        <v>0</v>
      </c>
      <c r="M17" s="36">
        <v>237.38</v>
      </c>
      <c r="N17" s="36">
        <v>0</v>
      </c>
      <c r="O17" s="36">
        <v>194.24</v>
      </c>
      <c r="P17" s="36">
        <v>0</v>
      </c>
      <c r="Q17" s="36">
        <v>499.33</v>
      </c>
      <c r="R17" s="36">
        <v>557.67999999999995</v>
      </c>
      <c r="S17" s="36">
        <v>741.2</v>
      </c>
      <c r="T17" s="36">
        <v>671.94</v>
      </c>
      <c r="U17" s="36">
        <v>164.56</v>
      </c>
      <c r="V17" s="36">
        <v>0</v>
      </c>
      <c r="W17" s="36">
        <v>327.60000000000002</v>
      </c>
      <c r="X17" s="36">
        <v>170.24</v>
      </c>
      <c r="Y17" s="36">
        <v>0</v>
      </c>
      <c r="Z17" s="101">
        <f>SUM(B17:Y17)</f>
        <v>5096.3500000000013</v>
      </c>
      <c r="AA17" s="109">
        <v>0</v>
      </c>
      <c r="AB17" s="93">
        <f>Z17+AA17</f>
        <v>5096.3500000000013</v>
      </c>
    </row>
    <row r="18" spans="1:28" ht="18" customHeight="1" thickBot="1" x14ac:dyDescent="0.3">
      <c r="A18" s="85" t="s">
        <v>20</v>
      </c>
      <c r="B18" s="89">
        <f>SUM(B14:B17)</f>
        <v>260.55</v>
      </c>
      <c r="C18" s="89">
        <f t="shared" ref="C18:AB18" si="1">SUM(C14:C17)</f>
        <v>2761.3599999999997</v>
      </c>
      <c r="D18" s="89">
        <f t="shared" si="1"/>
        <v>1645.81</v>
      </c>
      <c r="E18" s="89">
        <f t="shared" si="1"/>
        <v>2298.0899999999997</v>
      </c>
      <c r="F18" s="89">
        <f t="shared" si="1"/>
        <v>962.43000000000006</v>
      </c>
      <c r="G18" s="89">
        <f t="shared" si="1"/>
        <v>668.09</v>
      </c>
      <c r="H18" s="89">
        <f t="shared" si="1"/>
        <v>929.69</v>
      </c>
      <c r="I18" s="89">
        <f t="shared" si="1"/>
        <v>1606.21</v>
      </c>
      <c r="J18" s="89">
        <f t="shared" si="1"/>
        <v>574.01</v>
      </c>
      <c r="K18" s="89">
        <f t="shared" si="1"/>
        <v>1054.49</v>
      </c>
      <c r="L18" s="89">
        <f t="shared" si="1"/>
        <v>1163.3600000000001</v>
      </c>
      <c r="M18" s="89">
        <f t="shared" si="1"/>
        <v>1314.73</v>
      </c>
      <c r="N18" s="89">
        <f t="shared" si="1"/>
        <v>2184.06</v>
      </c>
      <c r="O18" s="89">
        <f t="shared" si="1"/>
        <v>1321.22</v>
      </c>
      <c r="P18" s="89">
        <f t="shared" si="1"/>
        <v>1638.52</v>
      </c>
      <c r="Q18" s="89">
        <f t="shared" si="1"/>
        <v>1075.56</v>
      </c>
      <c r="R18" s="89">
        <f t="shared" si="1"/>
        <v>1842.6299999999997</v>
      </c>
      <c r="S18" s="89">
        <f t="shared" si="1"/>
        <v>1331.2800000000002</v>
      </c>
      <c r="T18" s="89">
        <f t="shared" si="1"/>
        <v>2883.51</v>
      </c>
      <c r="U18" s="89">
        <f t="shared" si="1"/>
        <v>1145.6199999999999</v>
      </c>
      <c r="V18" s="89">
        <f t="shared" si="1"/>
        <v>1051.94</v>
      </c>
      <c r="W18" s="89">
        <f t="shared" si="1"/>
        <v>1714.5899999999997</v>
      </c>
      <c r="X18" s="89">
        <f t="shared" si="1"/>
        <v>1263.06</v>
      </c>
      <c r="Y18" s="89">
        <f t="shared" si="1"/>
        <v>2004.8899999999999</v>
      </c>
      <c r="Z18" s="102">
        <f>SUM(Z14:Z17)</f>
        <v>34695.699999999997</v>
      </c>
      <c r="AA18" s="102">
        <f>SUM(AA14:AA17)</f>
        <v>606.44000000000005</v>
      </c>
      <c r="AB18" s="94">
        <f t="shared" si="1"/>
        <v>35302.14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501.79</v>
      </c>
      <c r="C20" s="39">
        <f t="shared" ref="C20:AB20" si="2">SUM(C11,C18)</f>
        <v>69858.94</v>
      </c>
      <c r="D20" s="39">
        <f t="shared" si="2"/>
        <v>53590.42</v>
      </c>
      <c r="E20" s="39">
        <f t="shared" si="2"/>
        <v>57633.619999999995</v>
      </c>
      <c r="F20" s="39">
        <f t="shared" si="2"/>
        <v>48471.18</v>
      </c>
      <c r="G20" s="39">
        <f t="shared" si="2"/>
        <v>25250.86</v>
      </c>
      <c r="H20" s="39">
        <f t="shared" si="2"/>
        <v>41349.42</v>
      </c>
      <c r="I20" s="39">
        <f t="shared" si="2"/>
        <v>27789.149999999998</v>
      </c>
      <c r="J20" s="39">
        <f t="shared" si="2"/>
        <v>48401.85</v>
      </c>
      <c r="K20" s="39">
        <f t="shared" si="2"/>
        <v>24539.11</v>
      </c>
      <c r="L20" s="39">
        <f t="shared" si="2"/>
        <v>25907.75</v>
      </c>
      <c r="M20" s="39">
        <f t="shared" si="2"/>
        <v>47383.310000000005</v>
      </c>
      <c r="N20" s="39">
        <f t="shared" si="2"/>
        <v>77319.700000000012</v>
      </c>
      <c r="O20" s="39">
        <f t="shared" si="2"/>
        <v>42441.85</v>
      </c>
      <c r="P20" s="39">
        <f t="shared" si="2"/>
        <v>57292.35</v>
      </c>
      <c r="Q20" s="39">
        <f t="shared" si="2"/>
        <v>32504.630000000005</v>
      </c>
      <c r="R20" s="39">
        <f t="shared" si="2"/>
        <v>54143.189999999995</v>
      </c>
      <c r="S20" s="39">
        <f t="shared" si="2"/>
        <v>52628.94</v>
      </c>
      <c r="T20" s="39">
        <f t="shared" si="2"/>
        <v>37783.020000000004</v>
      </c>
      <c r="U20" s="39">
        <f t="shared" si="2"/>
        <v>34577.800000000003</v>
      </c>
      <c r="V20" s="39">
        <f t="shared" si="2"/>
        <v>56488.770000000004</v>
      </c>
      <c r="W20" s="39">
        <f t="shared" si="2"/>
        <v>44414.389999999992</v>
      </c>
      <c r="X20" s="39">
        <f t="shared" si="2"/>
        <v>39132.769999999997</v>
      </c>
      <c r="Y20" s="39">
        <f t="shared" si="2"/>
        <v>23747.089999999997</v>
      </c>
      <c r="Z20" s="139">
        <f>Z11+Z18</f>
        <v>1023151.9</v>
      </c>
      <c r="AA20" s="143">
        <f>AA11+AA18</f>
        <v>28118.14</v>
      </c>
      <c r="AB20" s="136">
        <f t="shared" si="2"/>
        <v>1051270.04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B18/(100%+B$27)</f>
        <v>235.79185520361992</v>
      </c>
      <c r="C28" s="56">
        <f t="shared" ref="C28:AA28" si="3">C18/(100%+C$27)</f>
        <v>2498.968325791855</v>
      </c>
      <c r="D28" s="56">
        <f t="shared" si="3"/>
        <v>1492.7981859410429</v>
      </c>
      <c r="E28" s="56">
        <f t="shared" si="3"/>
        <v>2079.7194570135744</v>
      </c>
      <c r="F28" s="56">
        <f t="shared" si="3"/>
        <v>893.20649651972167</v>
      </c>
      <c r="G28" s="56">
        <f t="shared" si="3"/>
        <v>620.0371229698377</v>
      </c>
      <c r="H28" s="56">
        <f t="shared" si="3"/>
        <v>862.82134570765675</v>
      </c>
      <c r="I28" s="56">
        <f t="shared" si="3"/>
        <v>1490.6821345707658</v>
      </c>
      <c r="J28" s="56">
        <f t="shared" si="3"/>
        <v>519.46606334841624</v>
      </c>
      <c r="K28" s="56">
        <f t="shared" si="3"/>
        <v>956.45351473922904</v>
      </c>
      <c r="L28" s="56">
        <f t="shared" si="3"/>
        <v>1060.0091116173123</v>
      </c>
      <c r="M28" s="56">
        <f t="shared" si="3"/>
        <v>1197.9316628701595</v>
      </c>
      <c r="N28" s="56">
        <f t="shared" si="3"/>
        <v>1990.0318906605924</v>
      </c>
      <c r="O28" s="56">
        <f t="shared" si="3"/>
        <v>1209.3546910755149</v>
      </c>
      <c r="P28" s="56">
        <f t="shared" si="3"/>
        <v>1482.8235294117646</v>
      </c>
      <c r="Q28" s="56">
        <f t="shared" si="3"/>
        <v>989.02068965517242</v>
      </c>
      <c r="R28" s="56">
        <f t="shared" si="3"/>
        <v>1678.9339407744874</v>
      </c>
      <c r="S28" s="56">
        <f t="shared" si="3"/>
        <v>1202.0586907449213</v>
      </c>
      <c r="T28" s="56">
        <f t="shared" si="3"/>
        <v>2609.5113122171947</v>
      </c>
      <c r="U28" s="56">
        <f t="shared" si="3"/>
        <v>1036.7601809954751</v>
      </c>
      <c r="V28" s="56">
        <f t="shared" si="3"/>
        <v>954.14058956916097</v>
      </c>
      <c r="W28" s="56">
        <f t="shared" si="3"/>
        <v>1591.2668213457075</v>
      </c>
      <c r="X28" s="56">
        <f t="shared" si="3"/>
        <v>1150.8519362186789</v>
      </c>
      <c r="Y28" s="56">
        <f t="shared" si="3"/>
        <v>1843.5770114942529</v>
      </c>
      <c r="Z28" s="127">
        <f>SUM(B28:Y28)</f>
        <v>31646.216560456112</v>
      </c>
      <c r="AA28" s="128">
        <f t="shared" si="3"/>
        <v>559.54973242295625</v>
      </c>
      <c r="AB28" s="100">
        <f>Z28+AA28</f>
        <v>32205.766292879067</v>
      </c>
    </row>
    <row r="29" spans="1:28" ht="18" customHeight="1" thickBot="1" x14ac:dyDescent="0.3">
      <c r="A29" s="52" t="s">
        <v>63</v>
      </c>
      <c r="B29" s="56">
        <f>B18-B28</f>
        <v>24.758144796380094</v>
      </c>
      <c r="C29" s="56">
        <f t="shared" ref="C29:Y29" si="4">C18-C28</f>
        <v>262.39167420814465</v>
      </c>
      <c r="D29" s="56">
        <f t="shared" si="4"/>
        <v>153.01181405895704</v>
      </c>
      <c r="E29" s="56">
        <f t="shared" si="4"/>
        <v>218.37054298642533</v>
      </c>
      <c r="F29" s="56">
        <f t="shared" si="4"/>
        <v>69.223503480278396</v>
      </c>
      <c r="G29" s="56">
        <f t="shared" si="4"/>
        <v>48.052877030162335</v>
      </c>
      <c r="H29" s="56">
        <f t="shared" si="4"/>
        <v>66.868654292343308</v>
      </c>
      <c r="I29" s="56">
        <f t="shared" si="4"/>
        <v>115.52786542923423</v>
      </c>
      <c r="J29" s="56">
        <f t="shared" si="4"/>
        <v>54.543936651583749</v>
      </c>
      <c r="K29" s="56">
        <f t="shared" si="4"/>
        <v>98.036485260770974</v>
      </c>
      <c r="L29" s="56">
        <f t="shared" si="4"/>
        <v>103.3508883826878</v>
      </c>
      <c r="M29" s="56">
        <f t="shared" si="4"/>
        <v>116.79833712984055</v>
      </c>
      <c r="N29" s="56">
        <f t="shared" si="4"/>
        <v>194.02810933940759</v>
      </c>
      <c r="O29" s="56">
        <f t="shared" si="4"/>
        <v>111.86530892448513</v>
      </c>
      <c r="P29" s="56">
        <f t="shared" si="4"/>
        <v>155.69647058823534</v>
      </c>
      <c r="Q29" s="56">
        <f t="shared" si="4"/>
        <v>86.539310344827527</v>
      </c>
      <c r="R29" s="56">
        <f t="shared" si="4"/>
        <v>163.69605922551227</v>
      </c>
      <c r="S29" s="56">
        <f t="shared" si="4"/>
        <v>129.22130925507895</v>
      </c>
      <c r="T29" s="56">
        <f t="shared" si="4"/>
        <v>273.99868778280552</v>
      </c>
      <c r="U29" s="56">
        <f t="shared" si="4"/>
        <v>108.85981900452475</v>
      </c>
      <c r="V29" s="56">
        <f t="shared" si="4"/>
        <v>97.799410430839089</v>
      </c>
      <c r="W29" s="56">
        <f t="shared" si="4"/>
        <v>123.32317865429218</v>
      </c>
      <c r="X29" s="56">
        <f t="shared" si="4"/>
        <v>112.20806378132102</v>
      </c>
      <c r="Y29" s="56">
        <f t="shared" si="4"/>
        <v>161.31298850574694</v>
      </c>
      <c r="Z29" s="135">
        <f>SUM(B29:Y29)</f>
        <v>3049.4834395438843</v>
      </c>
      <c r="AA29" s="144">
        <f>AA18-AA28</f>
        <v>46.890267577043801</v>
      </c>
      <c r="AB29" s="100">
        <f>Z29+AA29</f>
        <v>3096.373707120928</v>
      </c>
    </row>
    <row r="30" spans="1:28" ht="18" customHeight="1" thickBot="1" x14ac:dyDescent="0.3">
      <c r="A30" s="49"/>
      <c r="B30" s="129">
        <f>B28+B29</f>
        <v>260.55</v>
      </c>
      <c r="C30" s="129">
        <f t="shared" ref="C30:AA30" si="5">C28+C29</f>
        <v>2761.3599999999997</v>
      </c>
      <c r="D30" s="129">
        <f t="shared" si="5"/>
        <v>1645.81</v>
      </c>
      <c r="E30" s="129">
        <f t="shared" si="5"/>
        <v>2298.0899999999997</v>
      </c>
      <c r="F30" s="129">
        <f t="shared" si="5"/>
        <v>962.43000000000006</v>
      </c>
      <c r="G30" s="129">
        <f t="shared" si="5"/>
        <v>668.09</v>
      </c>
      <c r="H30" s="129">
        <f t="shared" si="5"/>
        <v>929.69</v>
      </c>
      <c r="I30" s="129">
        <f t="shared" si="5"/>
        <v>1606.21</v>
      </c>
      <c r="J30" s="129">
        <f t="shared" si="5"/>
        <v>574.01</v>
      </c>
      <c r="K30" s="129">
        <f t="shared" si="5"/>
        <v>1054.49</v>
      </c>
      <c r="L30" s="129">
        <f t="shared" si="5"/>
        <v>1163.3600000000001</v>
      </c>
      <c r="M30" s="129">
        <f t="shared" si="5"/>
        <v>1314.73</v>
      </c>
      <c r="N30" s="129">
        <f t="shared" si="5"/>
        <v>2184.06</v>
      </c>
      <c r="O30" s="129">
        <f t="shared" si="5"/>
        <v>1321.22</v>
      </c>
      <c r="P30" s="129">
        <f t="shared" si="5"/>
        <v>1638.52</v>
      </c>
      <c r="Q30" s="129">
        <f t="shared" si="5"/>
        <v>1075.56</v>
      </c>
      <c r="R30" s="129">
        <f t="shared" si="5"/>
        <v>1842.6299999999997</v>
      </c>
      <c r="S30" s="129">
        <f t="shared" si="5"/>
        <v>1331.2800000000002</v>
      </c>
      <c r="T30" s="129">
        <f t="shared" si="5"/>
        <v>2883.51</v>
      </c>
      <c r="U30" s="129">
        <f t="shared" si="5"/>
        <v>1145.6199999999999</v>
      </c>
      <c r="V30" s="129">
        <f t="shared" si="5"/>
        <v>1051.94</v>
      </c>
      <c r="W30" s="129">
        <f t="shared" si="5"/>
        <v>1714.5899999999997</v>
      </c>
      <c r="X30" s="129">
        <f t="shared" si="5"/>
        <v>1263.06</v>
      </c>
      <c r="Y30" s="129">
        <f t="shared" si="5"/>
        <v>2004.8899999999999</v>
      </c>
      <c r="Z30" s="130">
        <f>Z28+Z29</f>
        <v>34695.699999999997</v>
      </c>
      <c r="AA30" s="131">
        <f t="shared" si="5"/>
        <v>606.44000000000005</v>
      </c>
      <c r="AB30" s="132">
        <f>SUM(AB28:AB29)</f>
        <v>35302.139999999992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1048173.666292879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1591.2668213457075</v>
      </c>
      <c r="C38" s="71">
        <f>X28</f>
        <v>1150.8519362186789</v>
      </c>
      <c r="D38" s="72">
        <f>Q28</f>
        <v>989.02068965517242</v>
      </c>
      <c r="E38" s="72">
        <f>S28</f>
        <v>1202.0586907449213</v>
      </c>
      <c r="F38" s="72">
        <f>L28+M28+N28+R28+X28</f>
        <v>7077.7585421412305</v>
      </c>
      <c r="G38" s="72">
        <f>P28</f>
        <v>1482.8235294117646</v>
      </c>
      <c r="H38" s="72">
        <f>T28</f>
        <v>2609.5113122171947</v>
      </c>
      <c r="I38" s="72">
        <f>V28</f>
        <v>954.14058956916097</v>
      </c>
      <c r="J38" s="72">
        <f>C28</f>
        <v>2498.968325791855</v>
      </c>
      <c r="K38" s="72">
        <f>O28</f>
        <v>1209.3546910755149</v>
      </c>
      <c r="L38" s="72">
        <f>J28</f>
        <v>519.46606334841624</v>
      </c>
      <c r="M38" s="72">
        <f>B28+E28</f>
        <v>2315.5113122171942</v>
      </c>
      <c r="N38" s="72">
        <f>U28</f>
        <v>1036.7601809954751</v>
      </c>
      <c r="O38" s="73">
        <f>D28+K28</f>
        <v>2449.2517006802718</v>
      </c>
      <c r="P38" s="72">
        <f>Y28</f>
        <v>1843.5770114942529</v>
      </c>
      <c r="Q38" s="118">
        <f>SUM(B38:P38)</f>
        <v>28930.321396906813</v>
      </c>
      <c r="R38" s="42">
        <f>AA28</f>
        <v>559.54973242295625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123.32317865429233</v>
      </c>
      <c r="C40" s="80">
        <f t="shared" ref="C40:P40" si="6">C38*C39</f>
        <v>89.191025056947623</v>
      </c>
      <c r="D40" s="80">
        <f t="shared" si="6"/>
        <v>86.539310344827584</v>
      </c>
      <c r="E40" s="80">
        <f t="shared" si="6"/>
        <v>129.22130925507903</v>
      </c>
      <c r="F40" s="80">
        <f t="shared" si="6"/>
        <v>690.08145785877002</v>
      </c>
      <c r="G40" s="80">
        <f t="shared" si="6"/>
        <v>155.69647058823529</v>
      </c>
      <c r="H40" s="80">
        <f t="shared" si="6"/>
        <v>273.99868778280546</v>
      </c>
      <c r="I40" s="80">
        <f t="shared" si="6"/>
        <v>97.799410430838989</v>
      </c>
      <c r="J40" s="80">
        <f t="shared" si="6"/>
        <v>262.39167420814476</v>
      </c>
      <c r="K40" s="80">
        <f t="shared" si="6"/>
        <v>111.86530892448512</v>
      </c>
      <c r="L40" s="80">
        <f t="shared" si="6"/>
        <v>54.543936651583707</v>
      </c>
      <c r="M40" s="80">
        <f t="shared" si="6"/>
        <v>243.1286877828054</v>
      </c>
      <c r="N40" s="80">
        <f t="shared" si="6"/>
        <v>108.85981900452488</v>
      </c>
      <c r="O40" s="81">
        <f t="shared" si="6"/>
        <v>251.04829931972785</v>
      </c>
      <c r="P40" s="80">
        <f t="shared" si="6"/>
        <v>161.31298850574711</v>
      </c>
      <c r="Q40" s="138">
        <f>SUM(B40:P40)</f>
        <v>2839.0015643688153</v>
      </c>
      <c r="R40" s="137">
        <f>R38*R39</f>
        <v>46.890267577043737</v>
      </c>
    </row>
    <row r="41" spans="1:28" ht="18" customHeight="1" thickBot="1" x14ac:dyDescent="0.3">
      <c r="A41" s="49" t="s">
        <v>4</v>
      </c>
      <c r="B41" s="82">
        <f>B38+B40</f>
        <v>1714.59</v>
      </c>
      <c r="C41" s="83">
        <f t="shared" ref="C41:R41" si="7">C38+C40</f>
        <v>1240.0429612756266</v>
      </c>
      <c r="D41" s="83">
        <f t="shared" si="7"/>
        <v>1075.56</v>
      </c>
      <c r="E41" s="83">
        <f t="shared" si="7"/>
        <v>1331.2800000000002</v>
      </c>
      <c r="F41" s="83">
        <f t="shared" si="7"/>
        <v>7767.84</v>
      </c>
      <c r="G41" s="83">
        <f t="shared" si="7"/>
        <v>1638.52</v>
      </c>
      <c r="H41" s="83">
        <f t="shared" si="7"/>
        <v>2883.51</v>
      </c>
      <c r="I41" s="83">
        <f t="shared" si="7"/>
        <v>1051.94</v>
      </c>
      <c r="J41" s="83">
        <f t="shared" si="7"/>
        <v>2761.3599999999997</v>
      </c>
      <c r="K41" s="83">
        <f t="shared" si="7"/>
        <v>1321.22</v>
      </c>
      <c r="L41" s="83">
        <f t="shared" si="7"/>
        <v>574.01</v>
      </c>
      <c r="M41" s="83">
        <f t="shared" si="7"/>
        <v>2558.6399999999994</v>
      </c>
      <c r="N41" s="83">
        <f t="shared" si="7"/>
        <v>1145.6200000000001</v>
      </c>
      <c r="O41" s="84">
        <f t="shared" si="7"/>
        <v>2700.2999999999997</v>
      </c>
      <c r="P41" s="83">
        <f t="shared" si="7"/>
        <v>2004.89</v>
      </c>
      <c r="Q41" s="120">
        <f>SUM(B41:P41)</f>
        <v>31769.322961275626</v>
      </c>
      <c r="R41" s="85">
        <f t="shared" si="7"/>
        <v>606.43999999999994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374B5-9EEC-4A52-83EB-F5F41B3BA7AC}">
  <sheetPr>
    <tabColor theme="1"/>
    <pageSetUpPr fitToPage="1"/>
  </sheetPr>
  <dimension ref="A1:AB41"/>
  <sheetViews>
    <sheetView zoomScale="90" zoomScaleNormal="90" workbookViewId="0">
      <selection activeCell="F3" sqref="F3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103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941.89</v>
      </c>
      <c r="C7" s="36">
        <v>69132.38</v>
      </c>
      <c r="D7" s="36">
        <v>60086.27</v>
      </c>
      <c r="E7" s="36">
        <v>61762.48</v>
      </c>
      <c r="F7" s="36">
        <v>46873.05</v>
      </c>
      <c r="G7" s="36">
        <v>22573.11</v>
      </c>
      <c r="H7" s="36">
        <v>43864.45</v>
      </c>
      <c r="I7" s="36">
        <v>29791.57</v>
      </c>
      <c r="J7" s="36">
        <v>44334.07</v>
      </c>
      <c r="K7" s="36">
        <v>28651.33</v>
      </c>
      <c r="L7" s="36">
        <v>28596.06</v>
      </c>
      <c r="M7" s="36">
        <v>43421.01</v>
      </c>
      <c r="N7" s="36">
        <v>78966.009999999995</v>
      </c>
      <c r="O7" s="36">
        <v>42699.93</v>
      </c>
      <c r="P7" s="36">
        <v>52964.480000000003</v>
      </c>
      <c r="Q7" s="36">
        <v>32699.23</v>
      </c>
      <c r="R7" s="36">
        <v>54932.12</v>
      </c>
      <c r="S7" s="36">
        <v>49272.89</v>
      </c>
      <c r="T7" s="36">
        <v>36298.910000000003</v>
      </c>
      <c r="U7" s="36">
        <v>34807.599999999999</v>
      </c>
      <c r="V7" s="36">
        <v>53360.44</v>
      </c>
      <c r="W7" s="36">
        <v>43132.33</v>
      </c>
      <c r="X7" s="36">
        <v>34778.22</v>
      </c>
      <c r="Y7" s="36">
        <v>28764.44</v>
      </c>
      <c r="Z7" s="101">
        <f>SUM(B7:Y7)</f>
        <v>1022704.2699999999</v>
      </c>
      <c r="AA7" s="109">
        <v>25611.48</v>
      </c>
      <c r="AB7" s="93">
        <f>Z7+AA7</f>
        <v>1048315.7499999999</v>
      </c>
    </row>
    <row r="8" spans="1:28" ht="17.25" customHeight="1" x14ac:dyDescent="0.25">
      <c r="A8" s="35" t="s">
        <v>6</v>
      </c>
      <c r="B8" s="36">
        <v>0</v>
      </c>
      <c r="C8" s="36">
        <v>1157.8</v>
      </c>
      <c r="D8" s="36">
        <v>992.4</v>
      </c>
      <c r="E8" s="36">
        <v>992.4</v>
      </c>
      <c r="F8" s="36">
        <v>744.3</v>
      </c>
      <c r="G8" s="36">
        <v>206.75</v>
      </c>
      <c r="H8" s="36">
        <v>661.6</v>
      </c>
      <c r="I8" s="36">
        <v>454.85</v>
      </c>
      <c r="J8" s="36">
        <v>868.35</v>
      </c>
      <c r="K8" s="36">
        <v>454.85</v>
      </c>
      <c r="L8" s="36">
        <v>413.5</v>
      </c>
      <c r="M8" s="36">
        <v>620.25</v>
      </c>
      <c r="N8" s="36">
        <v>1075.0999999999999</v>
      </c>
      <c r="O8" s="36">
        <v>702.95</v>
      </c>
      <c r="P8" s="36">
        <v>868.35</v>
      </c>
      <c r="Q8" s="36">
        <v>454.85</v>
      </c>
      <c r="R8" s="36">
        <v>992.4</v>
      </c>
      <c r="S8" s="36">
        <v>744.3</v>
      </c>
      <c r="T8" s="36">
        <v>578.9</v>
      </c>
      <c r="U8" s="36">
        <v>206.75</v>
      </c>
      <c r="V8" s="36">
        <v>702.95</v>
      </c>
      <c r="W8" s="36">
        <v>620.25</v>
      </c>
      <c r="X8" s="36">
        <v>454.85</v>
      </c>
      <c r="Y8" s="36">
        <v>372.15</v>
      </c>
      <c r="Z8" s="101">
        <f>SUM(B8:Y8)</f>
        <v>15340.850000000002</v>
      </c>
      <c r="AA8" s="109">
        <v>248.1</v>
      </c>
      <c r="AB8" s="93">
        <f>Z8+AA8</f>
        <v>15588.950000000003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28</v>
      </c>
      <c r="I9" s="36">
        <v>0</v>
      </c>
      <c r="J9" s="36">
        <v>46.8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101">
        <f>SUM(B9:Y9)</f>
        <v>74.8</v>
      </c>
      <c r="AA9" s="109">
        <v>0</v>
      </c>
      <c r="AB9" s="93">
        <f>Z9+AA9</f>
        <v>74.8</v>
      </c>
    </row>
    <row r="10" spans="1:28" ht="18" customHeight="1" thickBot="1" x14ac:dyDescent="0.3">
      <c r="A10" s="35" t="s">
        <v>7</v>
      </c>
      <c r="B10" s="36">
        <v>0</v>
      </c>
      <c r="C10" s="36">
        <v>0.28999999999999998</v>
      </c>
      <c r="D10" s="36">
        <v>0.32</v>
      </c>
      <c r="E10" s="36">
        <v>0.16</v>
      </c>
      <c r="F10" s="36">
        <v>0.19</v>
      </c>
      <c r="G10" s="36">
        <v>0.16</v>
      </c>
      <c r="H10" s="36">
        <v>0.13</v>
      </c>
      <c r="I10" s="36">
        <v>0.14000000000000001</v>
      </c>
      <c r="J10" s="36">
        <v>0.12</v>
      </c>
      <c r="K10" s="36">
        <v>0.08</v>
      </c>
      <c r="L10" s="36">
        <v>0.14000000000000001</v>
      </c>
      <c r="M10" s="36">
        <v>0.21</v>
      </c>
      <c r="N10" s="36">
        <v>0.24</v>
      </c>
      <c r="O10" s="36">
        <v>0.14000000000000001</v>
      </c>
      <c r="P10" s="36">
        <v>0.15</v>
      </c>
      <c r="Q10" s="36">
        <v>0.12</v>
      </c>
      <c r="R10" s="36">
        <v>0.55000000000000004</v>
      </c>
      <c r="S10" s="36">
        <v>0.18</v>
      </c>
      <c r="T10" s="36">
        <v>0.16</v>
      </c>
      <c r="U10" s="36">
        <v>0.09</v>
      </c>
      <c r="V10" s="36">
        <v>0.12</v>
      </c>
      <c r="W10" s="36">
        <v>0.12</v>
      </c>
      <c r="X10" s="36">
        <v>0.15</v>
      </c>
      <c r="Y10" s="36">
        <v>0.09</v>
      </c>
      <c r="Z10" s="101">
        <f>SUM(B10:Y10)</f>
        <v>4.0500000000000007</v>
      </c>
      <c r="AA10" s="109">
        <v>0.14000000000000001</v>
      </c>
      <c r="AB10" s="93">
        <f>Z10+AA10</f>
        <v>4.1900000000000004</v>
      </c>
    </row>
    <row r="11" spans="1:28" ht="18" customHeight="1" thickBot="1" x14ac:dyDescent="0.3">
      <c r="A11" s="49" t="s">
        <v>19</v>
      </c>
      <c r="B11" s="89">
        <f>SUM(B7:B10)</f>
        <v>941.89</v>
      </c>
      <c r="C11" s="89">
        <f t="shared" ref="C11:X11" si="0">SUM(C7:C10)</f>
        <v>70290.47</v>
      </c>
      <c r="D11" s="89">
        <f t="shared" si="0"/>
        <v>61078.99</v>
      </c>
      <c r="E11" s="89">
        <f t="shared" si="0"/>
        <v>62755.040000000008</v>
      </c>
      <c r="F11" s="89">
        <f t="shared" si="0"/>
        <v>47617.540000000008</v>
      </c>
      <c r="G11" s="89">
        <f t="shared" si="0"/>
        <v>22780.02</v>
      </c>
      <c r="H11" s="89">
        <f t="shared" si="0"/>
        <v>44554.179999999993</v>
      </c>
      <c r="I11" s="89">
        <f t="shared" si="0"/>
        <v>30246.559999999998</v>
      </c>
      <c r="J11" s="89">
        <f t="shared" si="0"/>
        <v>45249.340000000004</v>
      </c>
      <c r="K11" s="89">
        <f t="shared" si="0"/>
        <v>29106.260000000002</v>
      </c>
      <c r="L11" s="89">
        <f t="shared" si="0"/>
        <v>29009.7</v>
      </c>
      <c r="M11" s="89">
        <f t="shared" si="0"/>
        <v>44041.47</v>
      </c>
      <c r="N11" s="89">
        <f t="shared" si="0"/>
        <v>80041.350000000006</v>
      </c>
      <c r="O11" s="89">
        <f t="shared" si="0"/>
        <v>43403.02</v>
      </c>
      <c r="P11" s="89">
        <f t="shared" si="0"/>
        <v>53832.98</v>
      </c>
      <c r="Q11" s="89">
        <f t="shared" si="0"/>
        <v>33154.200000000004</v>
      </c>
      <c r="R11" s="89">
        <f t="shared" si="0"/>
        <v>55925.070000000007</v>
      </c>
      <c r="S11" s="89">
        <f t="shared" si="0"/>
        <v>50017.37</v>
      </c>
      <c r="T11" s="89">
        <f t="shared" si="0"/>
        <v>36877.970000000008</v>
      </c>
      <c r="U11" s="89">
        <f t="shared" si="0"/>
        <v>35014.439999999995</v>
      </c>
      <c r="V11" s="89">
        <f t="shared" si="0"/>
        <v>54063.51</v>
      </c>
      <c r="W11" s="89">
        <f t="shared" si="0"/>
        <v>43752.700000000004</v>
      </c>
      <c r="X11" s="89">
        <f t="shared" si="0"/>
        <v>35233.22</v>
      </c>
      <c r="Y11" s="89">
        <f>SUM(Y7:Y10)</f>
        <v>29136.68</v>
      </c>
      <c r="Z11" s="140">
        <f>SUM(Z7:Z10)</f>
        <v>1038123.97</v>
      </c>
      <c r="AA11" s="141">
        <f>SUM(AA7:AA10)</f>
        <v>25859.719999999998</v>
      </c>
      <c r="AB11" s="142">
        <f>SUM(AB7:AB10)</f>
        <v>1063983.69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45.75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113.2</v>
      </c>
      <c r="C14" s="36">
        <v>461.81</v>
      </c>
      <c r="D14" s="36">
        <v>510.92</v>
      </c>
      <c r="E14" s="36">
        <v>566</v>
      </c>
      <c r="F14" s="36">
        <v>179.71</v>
      </c>
      <c r="G14" s="36">
        <v>208.62</v>
      </c>
      <c r="H14" s="36">
        <v>362.59</v>
      </c>
      <c r="I14" s="36">
        <v>347.73</v>
      </c>
      <c r="J14" s="36">
        <v>327.98</v>
      </c>
      <c r="K14" s="36">
        <v>267.04000000000002</v>
      </c>
      <c r="L14" s="36">
        <v>106.25</v>
      </c>
      <c r="M14" s="36">
        <v>658.41</v>
      </c>
      <c r="N14" s="36">
        <v>485.52</v>
      </c>
      <c r="O14" s="36">
        <v>567.51</v>
      </c>
      <c r="P14" s="36">
        <v>352.96</v>
      </c>
      <c r="Q14" s="36">
        <v>237.79</v>
      </c>
      <c r="R14" s="36">
        <v>437.35</v>
      </c>
      <c r="S14" s="36">
        <v>522.26</v>
      </c>
      <c r="T14" s="36">
        <v>401.49</v>
      </c>
      <c r="U14" s="36">
        <v>403.43</v>
      </c>
      <c r="V14" s="36">
        <v>599.65</v>
      </c>
      <c r="W14" s="36">
        <v>228.74</v>
      </c>
      <c r="X14" s="36">
        <v>620</v>
      </c>
      <c r="Y14" s="36">
        <v>396.63</v>
      </c>
      <c r="Z14" s="101">
        <f>SUM(B14:Y14)</f>
        <v>9363.59</v>
      </c>
      <c r="AA14" s="109">
        <v>352.5</v>
      </c>
      <c r="AB14" s="93">
        <f>Z14+AA14</f>
        <v>9716.09</v>
      </c>
    </row>
    <row r="15" spans="1:28" ht="18" customHeight="1" x14ac:dyDescent="0.25">
      <c r="A15" s="35" t="s">
        <v>8</v>
      </c>
      <c r="B15" s="36">
        <v>299.83999999999997</v>
      </c>
      <c r="C15" s="36">
        <v>721.17</v>
      </c>
      <c r="D15" s="36">
        <v>874.42</v>
      </c>
      <c r="E15" s="36">
        <v>511.18</v>
      </c>
      <c r="F15" s="36">
        <v>277.89</v>
      </c>
      <c r="G15" s="36">
        <v>0</v>
      </c>
      <c r="H15" s="36">
        <v>502.07</v>
      </c>
      <c r="I15" s="36">
        <v>243.71</v>
      </c>
      <c r="J15" s="36">
        <v>1184</v>
      </c>
      <c r="K15" s="36">
        <v>443.32</v>
      </c>
      <c r="L15" s="36">
        <v>316.86</v>
      </c>
      <c r="M15" s="36">
        <v>1034.72</v>
      </c>
      <c r="N15" s="36">
        <v>767.45</v>
      </c>
      <c r="O15" s="36">
        <v>98.12</v>
      </c>
      <c r="P15" s="36">
        <v>525.39</v>
      </c>
      <c r="Q15" s="36">
        <v>57.18</v>
      </c>
      <c r="R15" s="36">
        <v>599.26</v>
      </c>
      <c r="S15" s="36">
        <v>653.04</v>
      </c>
      <c r="T15" s="36">
        <v>890</v>
      </c>
      <c r="U15" s="36">
        <v>913.46</v>
      </c>
      <c r="V15" s="36">
        <v>2202.27</v>
      </c>
      <c r="W15" s="36">
        <v>587.66999999999996</v>
      </c>
      <c r="X15" s="36">
        <v>77.2</v>
      </c>
      <c r="Y15" s="36">
        <v>94.97</v>
      </c>
      <c r="Z15" s="101">
        <f>SUM(B15:Y15)</f>
        <v>13875.189999999999</v>
      </c>
      <c r="AA15" s="109">
        <v>726.14</v>
      </c>
      <c r="AB15" s="93">
        <f>Z15+AA15</f>
        <v>14601.329999999998</v>
      </c>
    </row>
    <row r="16" spans="1:28" ht="18" customHeight="1" x14ac:dyDescent="0.25">
      <c r="A16" s="35" t="s">
        <v>13</v>
      </c>
      <c r="B16" s="36">
        <v>67.489999999999995</v>
      </c>
      <c r="C16" s="36">
        <v>134.99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54.84</v>
      </c>
      <c r="J16" s="36">
        <v>0</v>
      </c>
      <c r="K16" s="36">
        <v>44.89</v>
      </c>
      <c r="L16" s="36">
        <v>71.33</v>
      </c>
      <c r="M16" s="36">
        <v>33.520000000000003</v>
      </c>
      <c r="N16" s="36">
        <v>111.72</v>
      </c>
      <c r="O16" s="36">
        <v>97.5</v>
      </c>
      <c r="P16" s="36">
        <v>0</v>
      </c>
      <c r="Q16" s="36">
        <v>66.42</v>
      </c>
      <c r="R16" s="36">
        <v>0</v>
      </c>
      <c r="S16" s="36">
        <v>0</v>
      </c>
      <c r="T16" s="36">
        <v>0</v>
      </c>
      <c r="U16" s="36">
        <v>11.25</v>
      </c>
      <c r="V16" s="36">
        <v>98.38</v>
      </c>
      <c r="W16" s="36">
        <v>0</v>
      </c>
      <c r="X16" s="36">
        <v>188.99</v>
      </c>
      <c r="Y16" s="36">
        <v>0</v>
      </c>
      <c r="Z16" s="101">
        <f>SUM(B16:Y16)</f>
        <v>981.31999999999994</v>
      </c>
      <c r="AA16" s="109">
        <v>128.94999999999999</v>
      </c>
      <c r="AB16" s="93">
        <f>Z16+AA16</f>
        <v>1110.27</v>
      </c>
    </row>
    <row r="17" spans="1:28" ht="18" customHeight="1" thickBot="1" x14ac:dyDescent="0.3">
      <c r="A17" s="35" t="s">
        <v>22</v>
      </c>
      <c r="B17" s="36">
        <v>0</v>
      </c>
      <c r="C17" s="36">
        <v>543.63</v>
      </c>
      <c r="D17" s="36">
        <v>402.64</v>
      </c>
      <c r="E17" s="36">
        <v>500.53</v>
      </c>
      <c r="F17" s="36">
        <v>400.19</v>
      </c>
      <c r="G17" s="36">
        <v>160.46</v>
      </c>
      <c r="H17" s="36">
        <v>327.60000000000002</v>
      </c>
      <c r="I17" s="36">
        <v>160.46</v>
      </c>
      <c r="J17" s="36">
        <v>171.41</v>
      </c>
      <c r="K17" s="36">
        <v>492.54</v>
      </c>
      <c r="L17" s="36">
        <v>0</v>
      </c>
      <c r="M17" s="36">
        <v>407.62</v>
      </c>
      <c r="N17" s="36">
        <v>667.36</v>
      </c>
      <c r="O17" s="36">
        <v>501.64</v>
      </c>
      <c r="P17" s="36">
        <v>507.38</v>
      </c>
      <c r="Q17" s="36">
        <v>0</v>
      </c>
      <c r="R17" s="36">
        <v>640.38</v>
      </c>
      <c r="S17" s="36">
        <v>246.41</v>
      </c>
      <c r="T17" s="36">
        <v>0</v>
      </c>
      <c r="U17" s="36">
        <v>671.94</v>
      </c>
      <c r="V17" s="36">
        <v>335.2</v>
      </c>
      <c r="W17" s="36">
        <v>0</v>
      </c>
      <c r="X17" s="36">
        <v>237.38</v>
      </c>
      <c r="Y17" s="36">
        <v>330.64</v>
      </c>
      <c r="Z17" s="101">
        <f>SUM(B17:Y17)</f>
        <v>7705.4100000000008</v>
      </c>
      <c r="AA17" s="109">
        <v>0</v>
      </c>
      <c r="AB17" s="93">
        <f>Z17+AA17</f>
        <v>7705.4100000000008</v>
      </c>
    </row>
    <row r="18" spans="1:28" ht="18" customHeight="1" thickBot="1" x14ac:dyDescent="0.3">
      <c r="A18" s="85" t="s">
        <v>20</v>
      </c>
      <c r="B18" s="89">
        <f>SUM(B14:B17)</f>
        <v>480.53</v>
      </c>
      <c r="C18" s="89">
        <f t="shared" ref="C18:AB18" si="1">SUM(C14:C17)</f>
        <v>1861.6</v>
      </c>
      <c r="D18" s="89">
        <f t="shared" si="1"/>
        <v>1787.98</v>
      </c>
      <c r="E18" s="89">
        <f t="shared" si="1"/>
        <v>1577.71</v>
      </c>
      <c r="F18" s="89">
        <f t="shared" si="1"/>
        <v>857.79</v>
      </c>
      <c r="G18" s="89">
        <f t="shared" si="1"/>
        <v>369.08000000000004</v>
      </c>
      <c r="H18" s="89">
        <f t="shared" si="1"/>
        <v>1192.26</v>
      </c>
      <c r="I18" s="89">
        <f t="shared" si="1"/>
        <v>806.74000000000012</v>
      </c>
      <c r="J18" s="89">
        <f t="shared" si="1"/>
        <v>1683.39</v>
      </c>
      <c r="K18" s="89">
        <f t="shared" si="1"/>
        <v>1247.79</v>
      </c>
      <c r="L18" s="89">
        <f t="shared" si="1"/>
        <v>494.44</v>
      </c>
      <c r="M18" s="89">
        <f t="shared" si="1"/>
        <v>2134.27</v>
      </c>
      <c r="N18" s="89">
        <f t="shared" si="1"/>
        <v>2032.0500000000002</v>
      </c>
      <c r="O18" s="89">
        <f t="shared" si="1"/>
        <v>1264.77</v>
      </c>
      <c r="P18" s="89">
        <f t="shared" si="1"/>
        <v>1385.73</v>
      </c>
      <c r="Q18" s="89">
        <f t="shared" si="1"/>
        <v>361.39</v>
      </c>
      <c r="R18" s="89">
        <f t="shared" si="1"/>
        <v>1676.9900000000002</v>
      </c>
      <c r="S18" s="89">
        <f t="shared" si="1"/>
        <v>1421.71</v>
      </c>
      <c r="T18" s="89">
        <f t="shared" si="1"/>
        <v>1291.49</v>
      </c>
      <c r="U18" s="89">
        <f t="shared" si="1"/>
        <v>2000.0800000000002</v>
      </c>
      <c r="V18" s="89">
        <f t="shared" si="1"/>
        <v>3235.5</v>
      </c>
      <c r="W18" s="89">
        <f t="shared" si="1"/>
        <v>816.41</v>
      </c>
      <c r="X18" s="89">
        <f t="shared" si="1"/>
        <v>1123.5700000000002</v>
      </c>
      <c r="Y18" s="89">
        <f t="shared" si="1"/>
        <v>822.24</v>
      </c>
      <c r="Z18" s="102">
        <f>SUM(Z14:Z17)</f>
        <v>31925.51</v>
      </c>
      <c r="AA18" s="102">
        <f>SUM(AA14:AA17)</f>
        <v>1207.5899999999999</v>
      </c>
      <c r="AB18" s="94">
        <f t="shared" si="1"/>
        <v>33133.1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1422.42</v>
      </c>
      <c r="C20" s="39">
        <f t="shared" ref="C20:AB20" si="2">SUM(C11,C18)</f>
        <v>72152.070000000007</v>
      </c>
      <c r="D20" s="39">
        <f t="shared" si="2"/>
        <v>62866.97</v>
      </c>
      <c r="E20" s="39">
        <f t="shared" si="2"/>
        <v>64332.750000000007</v>
      </c>
      <c r="F20" s="39">
        <f t="shared" si="2"/>
        <v>48475.330000000009</v>
      </c>
      <c r="G20" s="39">
        <f t="shared" si="2"/>
        <v>23149.100000000002</v>
      </c>
      <c r="H20" s="39">
        <f t="shared" si="2"/>
        <v>45746.439999999995</v>
      </c>
      <c r="I20" s="39">
        <f t="shared" si="2"/>
        <v>31053.3</v>
      </c>
      <c r="J20" s="39">
        <f t="shared" si="2"/>
        <v>46932.73</v>
      </c>
      <c r="K20" s="39">
        <f t="shared" si="2"/>
        <v>30354.050000000003</v>
      </c>
      <c r="L20" s="39">
        <f t="shared" si="2"/>
        <v>29504.14</v>
      </c>
      <c r="M20" s="39">
        <f t="shared" si="2"/>
        <v>46175.74</v>
      </c>
      <c r="N20" s="39">
        <f t="shared" si="2"/>
        <v>82073.400000000009</v>
      </c>
      <c r="O20" s="39">
        <f t="shared" si="2"/>
        <v>44667.789999999994</v>
      </c>
      <c r="P20" s="39">
        <f t="shared" si="2"/>
        <v>55218.710000000006</v>
      </c>
      <c r="Q20" s="39">
        <f t="shared" si="2"/>
        <v>33515.590000000004</v>
      </c>
      <c r="R20" s="39">
        <f t="shared" si="2"/>
        <v>57602.060000000005</v>
      </c>
      <c r="S20" s="39">
        <f t="shared" si="2"/>
        <v>51439.08</v>
      </c>
      <c r="T20" s="39">
        <f t="shared" si="2"/>
        <v>38169.460000000006</v>
      </c>
      <c r="U20" s="39">
        <f t="shared" si="2"/>
        <v>37014.519999999997</v>
      </c>
      <c r="V20" s="39">
        <f t="shared" si="2"/>
        <v>57299.01</v>
      </c>
      <c r="W20" s="39">
        <f t="shared" si="2"/>
        <v>44569.110000000008</v>
      </c>
      <c r="X20" s="39">
        <f t="shared" si="2"/>
        <v>36356.79</v>
      </c>
      <c r="Y20" s="39">
        <f t="shared" si="2"/>
        <v>29958.920000000002</v>
      </c>
      <c r="Z20" s="139">
        <f>Z11+Z18</f>
        <v>1070049.48</v>
      </c>
      <c r="AA20" s="143">
        <f>AA11+AA18</f>
        <v>27067.309999999998</v>
      </c>
      <c r="AB20" s="136">
        <f t="shared" si="2"/>
        <v>1097116.79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B18/(100%+B$27)</f>
        <v>434.86877828054298</v>
      </c>
      <c r="C28" s="56">
        <f t="shared" ref="C28:AA28" si="3">C18/(100%+C$27)</f>
        <v>1684.7058823529412</v>
      </c>
      <c r="D28" s="56">
        <f t="shared" si="3"/>
        <v>1621.7505668934241</v>
      </c>
      <c r="E28" s="56">
        <f t="shared" si="3"/>
        <v>1427.7918552036199</v>
      </c>
      <c r="F28" s="56">
        <f t="shared" si="3"/>
        <v>796.09280742459396</v>
      </c>
      <c r="G28" s="56">
        <f t="shared" si="3"/>
        <v>342.53364269141537</v>
      </c>
      <c r="H28" s="56">
        <f t="shared" si="3"/>
        <v>1106.5058004640373</v>
      </c>
      <c r="I28" s="56">
        <f t="shared" si="3"/>
        <v>748.7146171693737</v>
      </c>
      <c r="J28" s="56">
        <f t="shared" si="3"/>
        <v>1523.4298642533938</v>
      </c>
      <c r="K28" s="56">
        <f t="shared" si="3"/>
        <v>1131.7823129251699</v>
      </c>
      <c r="L28" s="56">
        <f t="shared" si="3"/>
        <v>450.51480637813216</v>
      </c>
      <c r="M28" s="56">
        <f t="shared" si="3"/>
        <v>1944.6651480637815</v>
      </c>
      <c r="N28" s="56">
        <f t="shared" si="3"/>
        <v>1851.5261958997726</v>
      </c>
      <c r="O28" s="56">
        <f t="shared" si="3"/>
        <v>1157.6842105263158</v>
      </c>
      <c r="P28" s="56">
        <f t="shared" si="3"/>
        <v>1254.0542986425339</v>
      </c>
      <c r="Q28" s="56">
        <f t="shared" si="3"/>
        <v>332.31264367816095</v>
      </c>
      <c r="R28" s="56">
        <f t="shared" si="3"/>
        <v>1528.0091116173123</v>
      </c>
      <c r="S28" s="56">
        <f t="shared" si="3"/>
        <v>1283.7110609480815</v>
      </c>
      <c r="T28" s="56">
        <f t="shared" si="3"/>
        <v>1168.7692307692307</v>
      </c>
      <c r="U28" s="56">
        <f t="shared" si="3"/>
        <v>1810.0271493212672</v>
      </c>
      <c r="V28" s="56">
        <f t="shared" si="3"/>
        <v>2934.6938775510203</v>
      </c>
      <c r="W28" s="56">
        <f t="shared" si="3"/>
        <v>757.68909512761024</v>
      </c>
      <c r="X28" s="56">
        <f t="shared" si="3"/>
        <v>1023.7539863325743</v>
      </c>
      <c r="Y28" s="56">
        <f t="shared" si="3"/>
        <v>756.08275862068967</v>
      </c>
      <c r="Z28" s="127">
        <f>SUM(B28:Y28)</f>
        <v>29071.669701134997</v>
      </c>
      <c r="AA28" s="128">
        <f t="shared" si="3"/>
        <v>1114.2184904964013</v>
      </c>
      <c r="AB28" s="100">
        <f>Z28+AA28</f>
        <v>30185.888191631399</v>
      </c>
    </row>
    <row r="29" spans="1:28" ht="18" customHeight="1" thickBot="1" x14ac:dyDescent="0.3">
      <c r="A29" s="52" t="s">
        <v>63</v>
      </c>
      <c r="B29" s="56">
        <f>B18-B28</f>
        <v>45.661221719456989</v>
      </c>
      <c r="C29" s="56">
        <f t="shared" ref="C29:Y29" si="4">C18-C28</f>
        <v>176.89411764705869</v>
      </c>
      <c r="D29" s="56">
        <f t="shared" si="4"/>
        <v>166.22943310657593</v>
      </c>
      <c r="E29" s="56">
        <f t="shared" si="4"/>
        <v>149.91814479638015</v>
      </c>
      <c r="F29" s="56">
        <f t="shared" si="4"/>
        <v>61.697192575406007</v>
      </c>
      <c r="G29" s="56">
        <f t="shared" si="4"/>
        <v>26.546357308584675</v>
      </c>
      <c r="H29" s="56">
        <f t="shared" si="4"/>
        <v>85.754199535962698</v>
      </c>
      <c r="I29" s="56">
        <f t="shared" si="4"/>
        <v>58.025382830626427</v>
      </c>
      <c r="J29" s="56">
        <f t="shared" si="4"/>
        <v>159.96013574660628</v>
      </c>
      <c r="K29" s="56">
        <f t="shared" si="4"/>
        <v>116.00768707483007</v>
      </c>
      <c r="L29" s="56">
        <f t="shared" si="4"/>
        <v>43.925193621867834</v>
      </c>
      <c r="M29" s="56">
        <f t="shared" si="4"/>
        <v>189.60485193621844</v>
      </c>
      <c r="N29" s="56">
        <f t="shared" si="4"/>
        <v>180.52380410022761</v>
      </c>
      <c r="O29" s="56">
        <f t="shared" si="4"/>
        <v>107.08578947368414</v>
      </c>
      <c r="P29" s="56">
        <f t="shared" si="4"/>
        <v>131.6757013574661</v>
      </c>
      <c r="Q29" s="56">
        <f t="shared" si="4"/>
        <v>29.077356321839034</v>
      </c>
      <c r="R29" s="56">
        <f t="shared" si="4"/>
        <v>148.98088838268791</v>
      </c>
      <c r="S29" s="56">
        <f t="shared" si="4"/>
        <v>137.99893905191857</v>
      </c>
      <c r="T29" s="56">
        <f t="shared" si="4"/>
        <v>122.72076923076929</v>
      </c>
      <c r="U29" s="56">
        <f t="shared" si="4"/>
        <v>190.05285067873297</v>
      </c>
      <c r="V29" s="56">
        <f t="shared" si="4"/>
        <v>300.80612244897975</v>
      </c>
      <c r="W29" s="56">
        <f t="shared" si="4"/>
        <v>58.720904872389724</v>
      </c>
      <c r="X29" s="56">
        <f t="shared" si="4"/>
        <v>99.816013667425864</v>
      </c>
      <c r="Y29" s="56">
        <f t="shared" si="4"/>
        <v>66.157241379310335</v>
      </c>
      <c r="Z29" s="135">
        <f>SUM(B29:Y29)</f>
        <v>2853.8402988650059</v>
      </c>
      <c r="AA29" s="144">
        <f>AA18-AA28</f>
        <v>93.371509503598645</v>
      </c>
      <c r="AB29" s="100">
        <f>Z29+AA29</f>
        <v>2947.2118083686046</v>
      </c>
    </row>
    <row r="30" spans="1:28" ht="18" customHeight="1" thickBot="1" x14ac:dyDescent="0.3">
      <c r="A30" s="49"/>
      <c r="B30" s="129">
        <f>B28+B29</f>
        <v>480.53</v>
      </c>
      <c r="C30" s="129">
        <f t="shared" ref="C30:AA30" si="5">C28+C29</f>
        <v>1861.6</v>
      </c>
      <c r="D30" s="129">
        <f t="shared" si="5"/>
        <v>1787.98</v>
      </c>
      <c r="E30" s="129">
        <f t="shared" si="5"/>
        <v>1577.71</v>
      </c>
      <c r="F30" s="129">
        <f t="shared" si="5"/>
        <v>857.79</v>
      </c>
      <c r="G30" s="129">
        <f t="shared" si="5"/>
        <v>369.08000000000004</v>
      </c>
      <c r="H30" s="129">
        <f t="shared" si="5"/>
        <v>1192.26</v>
      </c>
      <c r="I30" s="129">
        <f t="shared" si="5"/>
        <v>806.74000000000012</v>
      </c>
      <c r="J30" s="129">
        <f t="shared" si="5"/>
        <v>1683.39</v>
      </c>
      <c r="K30" s="129">
        <f t="shared" si="5"/>
        <v>1247.79</v>
      </c>
      <c r="L30" s="129">
        <f t="shared" si="5"/>
        <v>494.44</v>
      </c>
      <c r="M30" s="129">
        <f t="shared" si="5"/>
        <v>2134.27</v>
      </c>
      <c r="N30" s="129">
        <f t="shared" si="5"/>
        <v>2032.0500000000002</v>
      </c>
      <c r="O30" s="129">
        <f t="shared" si="5"/>
        <v>1264.77</v>
      </c>
      <c r="P30" s="129">
        <f t="shared" si="5"/>
        <v>1385.73</v>
      </c>
      <c r="Q30" s="129">
        <f t="shared" si="5"/>
        <v>361.39</v>
      </c>
      <c r="R30" s="129">
        <f t="shared" si="5"/>
        <v>1676.9900000000002</v>
      </c>
      <c r="S30" s="129">
        <f t="shared" si="5"/>
        <v>1421.71</v>
      </c>
      <c r="T30" s="129">
        <f t="shared" si="5"/>
        <v>1291.49</v>
      </c>
      <c r="U30" s="129">
        <f t="shared" si="5"/>
        <v>2000.0800000000002</v>
      </c>
      <c r="V30" s="129">
        <f t="shared" si="5"/>
        <v>3235.5</v>
      </c>
      <c r="W30" s="129">
        <f t="shared" si="5"/>
        <v>816.41</v>
      </c>
      <c r="X30" s="129">
        <f t="shared" si="5"/>
        <v>1123.5700000000002</v>
      </c>
      <c r="Y30" s="129">
        <f t="shared" si="5"/>
        <v>822.24</v>
      </c>
      <c r="Z30" s="130">
        <f>Z28+Z29</f>
        <v>31925.510000000002</v>
      </c>
      <c r="AA30" s="131">
        <f t="shared" si="5"/>
        <v>1207.5899999999999</v>
      </c>
      <c r="AB30" s="132">
        <f>SUM(AB28:AB29)</f>
        <v>33133.100000000006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1094169.5781916312</v>
      </c>
    </row>
    <row r="34" spans="1:28" ht="18" customHeight="1" x14ac:dyDescent="0.25">
      <c r="A34" s="169" t="s">
        <v>4</v>
      </c>
      <c r="B34" s="170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2"/>
      <c r="R34" s="121"/>
      <c r="S34" s="56"/>
    </row>
    <row r="35" spans="1:28" ht="18" customHeight="1" thickBot="1" x14ac:dyDescent="0.3">
      <c r="A35" s="173" t="s">
        <v>66</v>
      </c>
      <c r="B35" s="174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6"/>
      <c r="R35" s="177"/>
      <c r="S35" s="56"/>
    </row>
    <row r="36" spans="1:28" s="30" customFormat="1" ht="35.25" customHeight="1" thickBot="1" x14ac:dyDescent="0.3">
      <c r="A36" s="165"/>
      <c r="B36" s="166">
        <v>31</v>
      </c>
      <c r="C36" s="166">
        <v>37</v>
      </c>
      <c r="D36" s="166">
        <v>519</v>
      </c>
      <c r="E36" s="166">
        <v>582</v>
      </c>
      <c r="F36" s="166">
        <v>594</v>
      </c>
      <c r="G36" s="166">
        <v>598</v>
      </c>
      <c r="H36" s="166">
        <v>599</v>
      </c>
      <c r="I36" s="166">
        <v>600</v>
      </c>
      <c r="J36" s="166">
        <v>638</v>
      </c>
      <c r="K36" s="166">
        <v>692</v>
      </c>
      <c r="L36" s="166"/>
      <c r="M36" s="166"/>
      <c r="N36" s="166"/>
      <c r="O36" s="167"/>
      <c r="P36" s="166"/>
      <c r="Q36" s="168"/>
      <c r="R36" s="35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757.68909512761024</v>
      </c>
      <c r="C38" s="71">
        <f>X28</f>
        <v>1023.7539863325743</v>
      </c>
      <c r="D38" s="72">
        <f>Q28</f>
        <v>332.31264367816095</v>
      </c>
      <c r="E38" s="72">
        <f>S28</f>
        <v>1283.7110609480815</v>
      </c>
      <c r="F38" s="72">
        <f>L28+M28+N28+R28+X28</f>
        <v>6798.4692482915734</v>
      </c>
      <c r="G38" s="72">
        <f>P28</f>
        <v>1254.0542986425339</v>
      </c>
      <c r="H38" s="72">
        <f>T28</f>
        <v>1168.7692307692307</v>
      </c>
      <c r="I38" s="72">
        <f>V28</f>
        <v>2934.6938775510203</v>
      </c>
      <c r="J38" s="72">
        <f>C28</f>
        <v>1684.7058823529412</v>
      </c>
      <c r="K38" s="72">
        <f>O28</f>
        <v>1157.6842105263158</v>
      </c>
      <c r="L38" s="72">
        <f>J28</f>
        <v>1523.4298642533938</v>
      </c>
      <c r="M38" s="72">
        <f>B28+E28</f>
        <v>1862.6606334841629</v>
      </c>
      <c r="N38" s="72">
        <f>U28</f>
        <v>1810.0271493212672</v>
      </c>
      <c r="O38" s="73">
        <f>D28+K28</f>
        <v>2753.5328798185938</v>
      </c>
      <c r="P38" s="72">
        <f>Y28</f>
        <v>756.08275862068967</v>
      </c>
      <c r="Q38" s="118">
        <f>SUM(B38:P38)</f>
        <v>27101.576819718153</v>
      </c>
      <c r="R38" s="42">
        <f>AA28</f>
        <v>1114.2184904964013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58.720904872389795</v>
      </c>
      <c r="C40" s="80">
        <f t="shared" ref="C40:P40" si="6">C38*C39</f>
        <v>79.340933940774505</v>
      </c>
      <c r="D40" s="80">
        <f t="shared" si="6"/>
        <v>29.07735632183908</v>
      </c>
      <c r="E40" s="80">
        <f t="shared" si="6"/>
        <v>137.99893905191877</v>
      </c>
      <c r="F40" s="80">
        <f t="shared" si="6"/>
        <v>662.85075170842845</v>
      </c>
      <c r="G40" s="80">
        <f t="shared" si="6"/>
        <v>131.67570135746607</v>
      </c>
      <c r="H40" s="80">
        <f t="shared" si="6"/>
        <v>122.72076923076922</v>
      </c>
      <c r="I40" s="80">
        <f t="shared" si="6"/>
        <v>300.80612244897958</v>
      </c>
      <c r="J40" s="80">
        <f t="shared" si="6"/>
        <v>176.89411764705883</v>
      </c>
      <c r="K40" s="80">
        <f t="shared" si="6"/>
        <v>107.08578947368422</v>
      </c>
      <c r="L40" s="80">
        <f t="shared" si="6"/>
        <v>159.96013574660634</v>
      </c>
      <c r="M40" s="80">
        <f t="shared" si="6"/>
        <v>195.57936651583711</v>
      </c>
      <c r="N40" s="80">
        <f t="shared" si="6"/>
        <v>190.05285067873305</v>
      </c>
      <c r="O40" s="81">
        <f t="shared" si="6"/>
        <v>282.23712018140583</v>
      </c>
      <c r="P40" s="80">
        <f t="shared" si="6"/>
        <v>66.157241379310349</v>
      </c>
      <c r="Q40" s="138">
        <f>SUM(B40:P40)</f>
        <v>2701.1581005552011</v>
      </c>
      <c r="R40" s="137">
        <f>R38*R39</f>
        <v>93.371509503598432</v>
      </c>
    </row>
    <row r="41" spans="1:28" ht="18" customHeight="1" thickBot="1" x14ac:dyDescent="0.3">
      <c r="A41" s="49" t="s">
        <v>4</v>
      </c>
      <c r="B41" s="82">
        <f>B38+B40</f>
        <v>816.41000000000008</v>
      </c>
      <c r="C41" s="83">
        <f t="shared" ref="C41:R41" si="7">C38+C40</f>
        <v>1103.0949202733489</v>
      </c>
      <c r="D41" s="83">
        <f t="shared" si="7"/>
        <v>361.39000000000004</v>
      </c>
      <c r="E41" s="83">
        <f t="shared" si="7"/>
        <v>1421.7100000000003</v>
      </c>
      <c r="F41" s="83">
        <f t="shared" si="7"/>
        <v>7461.3200000000015</v>
      </c>
      <c r="G41" s="83">
        <f t="shared" si="7"/>
        <v>1385.73</v>
      </c>
      <c r="H41" s="83">
        <f t="shared" si="7"/>
        <v>1291.49</v>
      </c>
      <c r="I41" s="83">
        <f t="shared" si="7"/>
        <v>3235.5</v>
      </c>
      <c r="J41" s="83">
        <f t="shared" si="7"/>
        <v>1861.6000000000001</v>
      </c>
      <c r="K41" s="83">
        <f t="shared" si="7"/>
        <v>1264.77</v>
      </c>
      <c r="L41" s="83">
        <f t="shared" si="7"/>
        <v>1683.39</v>
      </c>
      <c r="M41" s="83">
        <f t="shared" si="7"/>
        <v>2058.2399999999998</v>
      </c>
      <c r="N41" s="83">
        <f t="shared" si="7"/>
        <v>2000.0800000000002</v>
      </c>
      <c r="O41" s="84">
        <f t="shared" si="7"/>
        <v>3035.7699999999995</v>
      </c>
      <c r="P41" s="83">
        <f t="shared" si="7"/>
        <v>822.24</v>
      </c>
      <c r="Q41" s="120">
        <f>SUM(B41:P41)</f>
        <v>29802.734920273353</v>
      </c>
      <c r="R41" s="85">
        <f t="shared" si="7"/>
        <v>1207.5899999999997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1B2E-219B-47B8-AC8F-16D8C7A1B910}">
  <sheetPr>
    <tabColor theme="1"/>
    <pageSetUpPr fitToPage="1"/>
  </sheetPr>
  <dimension ref="A1:AB41"/>
  <sheetViews>
    <sheetView topLeftCell="A11" zoomScale="90" zoomScaleNormal="90" workbookViewId="0">
      <selection activeCell="B28" sqref="B28:Y28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102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170.15</v>
      </c>
      <c r="C7" s="36">
        <v>70350.61</v>
      </c>
      <c r="D7" s="36">
        <v>54596.99</v>
      </c>
      <c r="E7" s="36">
        <v>55068.45</v>
      </c>
      <c r="F7" s="36">
        <v>40915.879999999997</v>
      </c>
      <c r="G7" s="36">
        <v>22651.040000000001</v>
      </c>
      <c r="H7" s="36">
        <v>45023.68</v>
      </c>
      <c r="I7" s="36">
        <v>26913.65</v>
      </c>
      <c r="J7" s="36">
        <v>45071.79</v>
      </c>
      <c r="K7" s="36">
        <v>23078.9</v>
      </c>
      <c r="L7" s="36">
        <v>24664.47</v>
      </c>
      <c r="M7" s="36">
        <v>43925.79</v>
      </c>
      <c r="N7" s="36">
        <v>75093.69</v>
      </c>
      <c r="O7" s="36">
        <v>42705.05</v>
      </c>
      <c r="P7" s="36">
        <v>54307.19</v>
      </c>
      <c r="Q7" s="36">
        <v>31462.33</v>
      </c>
      <c r="R7" s="36">
        <v>52545.42</v>
      </c>
      <c r="S7" s="36">
        <v>49192.22</v>
      </c>
      <c r="T7" s="36">
        <v>33652</v>
      </c>
      <c r="U7" s="36">
        <v>34280.49</v>
      </c>
      <c r="V7" s="36">
        <v>52750.51</v>
      </c>
      <c r="W7" s="36">
        <v>44100.9</v>
      </c>
      <c r="X7" s="36">
        <v>37423.32</v>
      </c>
      <c r="Y7" s="36">
        <v>25543.13</v>
      </c>
      <c r="Z7" s="101">
        <f>SUM(B7:Y7)</f>
        <v>985487.65</v>
      </c>
      <c r="AA7" s="109">
        <v>24514.82</v>
      </c>
      <c r="AB7" s="93">
        <f>Z7+AA7</f>
        <v>1010002.47</v>
      </c>
    </row>
    <row r="8" spans="1:28" ht="17.25" customHeight="1" x14ac:dyDescent="0.25">
      <c r="A8" s="35" t="s">
        <v>6</v>
      </c>
      <c r="B8" s="36">
        <v>41.35</v>
      </c>
      <c r="C8" s="36">
        <v>1116.45</v>
      </c>
      <c r="D8" s="36">
        <v>702.95</v>
      </c>
      <c r="E8" s="36">
        <v>744.3</v>
      </c>
      <c r="F8" s="36">
        <v>578.9</v>
      </c>
      <c r="G8" s="36">
        <v>165.4</v>
      </c>
      <c r="H8" s="36">
        <v>661.6</v>
      </c>
      <c r="I8" s="36">
        <v>413.5</v>
      </c>
      <c r="J8" s="36">
        <v>785.65</v>
      </c>
      <c r="K8" s="36">
        <v>413.5</v>
      </c>
      <c r="L8" s="36">
        <v>496.2</v>
      </c>
      <c r="M8" s="36">
        <v>744.3</v>
      </c>
      <c r="N8" s="36">
        <v>1116.45</v>
      </c>
      <c r="O8" s="36">
        <v>661.6</v>
      </c>
      <c r="P8" s="36">
        <v>785.65</v>
      </c>
      <c r="Q8" s="36">
        <v>413.5</v>
      </c>
      <c r="R8" s="36">
        <v>1116.45</v>
      </c>
      <c r="S8" s="36">
        <v>827</v>
      </c>
      <c r="T8" s="36">
        <v>413.5</v>
      </c>
      <c r="U8" s="36">
        <v>454.85</v>
      </c>
      <c r="V8" s="36">
        <v>1075.0999999999999</v>
      </c>
      <c r="W8" s="36">
        <v>827</v>
      </c>
      <c r="X8" s="36">
        <v>661.6</v>
      </c>
      <c r="Y8" s="36">
        <v>289.45</v>
      </c>
      <c r="Z8" s="101">
        <f>SUM(B8:Y8)</f>
        <v>15506.250000000002</v>
      </c>
      <c r="AA8" s="109">
        <v>289.45</v>
      </c>
      <c r="AB8" s="93">
        <f>Z8+AA8</f>
        <v>15795.700000000003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101">
        <f>SUM(B9:Y9)</f>
        <v>0</v>
      </c>
      <c r="AA9" s="109">
        <v>0</v>
      </c>
      <c r="AB9" s="93">
        <f>Z9+AA9</f>
        <v>0</v>
      </c>
    </row>
    <row r="10" spans="1:28" ht="18" customHeight="1" thickBot="1" x14ac:dyDescent="0.3">
      <c r="A10" s="35" t="s">
        <v>7</v>
      </c>
      <c r="B10" s="36">
        <v>0</v>
      </c>
      <c r="C10" s="36">
        <v>0.21</v>
      </c>
      <c r="D10" s="36">
        <v>0.21</v>
      </c>
      <c r="E10" s="36">
        <v>0.12</v>
      </c>
      <c r="F10" s="36">
        <v>0.18</v>
      </c>
      <c r="G10" s="36">
        <v>0.19</v>
      </c>
      <c r="H10" s="36">
        <v>0.12</v>
      </c>
      <c r="I10" s="36">
        <v>0.11</v>
      </c>
      <c r="J10" s="36">
        <v>0.16</v>
      </c>
      <c r="K10" s="36">
        <v>0.08</v>
      </c>
      <c r="L10" s="36">
        <v>0.26</v>
      </c>
      <c r="M10" s="36">
        <v>0.18</v>
      </c>
      <c r="N10" s="36">
        <v>0.4</v>
      </c>
      <c r="O10" s="36">
        <v>0.11</v>
      </c>
      <c r="P10" s="36">
        <v>0.15</v>
      </c>
      <c r="Q10" s="36">
        <v>0.13</v>
      </c>
      <c r="R10" s="36">
        <v>0.54</v>
      </c>
      <c r="S10" s="36">
        <v>0.15</v>
      </c>
      <c r="T10" s="36">
        <v>0.14000000000000001</v>
      </c>
      <c r="U10" s="36">
        <v>0.1</v>
      </c>
      <c r="V10" s="36">
        <v>0.26</v>
      </c>
      <c r="W10" s="36">
        <v>0.14000000000000001</v>
      </c>
      <c r="X10" s="36">
        <v>0.14000000000000001</v>
      </c>
      <c r="Y10" s="36">
        <v>0.11</v>
      </c>
      <c r="Z10" s="101">
        <f>SUM(B10:Y10)</f>
        <v>4.1900000000000004</v>
      </c>
      <c r="AA10" s="109">
        <v>0.09</v>
      </c>
      <c r="AB10" s="93">
        <f>Z10+AA10</f>
        <v>4.28</v>
      </c>
    </row>
    <row r="11" spans="1:28" ht="18" customHeight="1" thickBot="1" x14ac:dyDescent="0.3">
      <c r="A11" s="49" t="s">
        <v>19</v>
      </c>
      <c r="B11" s="89">
        <f>SUM(B7:B10)</f>
        <v>211.5</v>
      </c>
      <c r="C11" s="89">
        <f t="shared" ref="C11:X11" si="0">SUM(C7:C10)</f>
        <v>71467.27</v>
      </c>
      <c r="D11" s="89">
        <f t="shared" si="0"/>
        <v>55300.149999999994</v>
      </c>
      <c r="E11" s="89">
        <f t="shared" si="0"/>
        <v>55812.87</v>
      </c>
      <c r="F11" s="89">
        <f t="shared" si="0"/>
        <v>41494.959999999999</v>
      </c>
      <c r="G11" s="89">
        <f t="shared" si="0"/>
        <v>22816.63</v>
      </c>
      <c r="H11" s="89">
        <f t="shared" si="0"/>
        <v>45685.4</v>
      </c>
      <c r="I11" s="89">
        <f t="shared" si="0"/>
        <v>27327.260000000002</v>
      </c>
      <c r="J11" s="89">
        <f t="shared" si="0"/>
        <v>45857.600000000006</v>
      </c>
      <c r="K11" s="89">
        <f t="shared" si="0"/>
        <v>23492.480000000003</v>
      </c>
      <c r="L11" s="89">
        <f t="shared" si="0"/>
        <v>25160.93</v>
      </c>
      <c r="M11" s="89">
        <f t="shared" si="0"/>
        <v>44670.270000000004</v>
      </c>
      <c r="N11" s="89">
        <f t="shared" si="0"/>
        <v>76210.539999999994</v>
      </c>
      <c r="O11" s="89">
        <f t="shared" si="0"/>
        <v>43366.76</v>
      </c>
      <c r="P11" s="89">
        <f t="shared" si="0"/>
        <v>55092.990000000005</v>
      </c>
      <c r="Q11" s="89">
        <f t="shared" si="0"/>
        <v>31875.960000000003</v>
      </c>
      <c r="R11" s="89">
        <f t="shared" si="0"/>
        <v>53662.409999999996</v>
      </c>
      <c r="S11" s="89">
        <f t="shared" si="0"/>
        <v>50019.37</v>
      </c>
      <c r="T11" s="89">
        <f t="shared" si="0"/>
        <v>34065.64</v>
      </c>
      <c r="U11" s="89">
        <f t="shared" si="0"/>
        <v>34735.439999999995</v>
      </c>
      <c r="V11" s="89">
        <f t="shared" si="0"/>
        <v>53825.87</v>
      </c>
      <c r="W11" s="89">
        <f t="shared" si="0"/>
        <v>44928.04</v>
      </c>
      <c r="X11" s="89">
        <f t="shared" si="0"/>
        <v>38085.06</v>
      </c>
      <c r="Y11" s="89">
        <f>SUM(Y7:Y10)</f>
        <v>25832.690000000002</v>
      </c>
      <c r="Z11" s="140">
        <f>SUM(Z7:Z10)</f>
        <v>1000998.09</v>
      </c>
      <c r="AA11" s="141">
        <f>SUM(AA7:AA10)</f>
        <v>24804.36</v>
      </c>
      <c r="AB11" s="142">
        <f>SUM(AB7:AB10)</f>
        <v>1025802.45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142.85</v>
      </c>
      <c r="C14" s="36">
        <v>506.7</v>
      </c>
      <c r="D14" s="36">
        <v>397.97</v>
      </c>
      <c r="E14" s="36">
        <v>521.1</v>
      </c>
      <c r="F14" s="36">
        <v>232.27</v>
      </c>
      <c r="G14" s="36">
        <v>81.47</v>
      </c>
      <c r="H14" s="36">
        <v>347.73</v>
      </c>
      <c r="I14" s="36">
        <v>347.73</v>
      </c>
      <c r="J14" s="36">
        <v>283.08999999999997</v>
      </c>
      <c r="K14" s="36">
        <v>385.36</v>
      </c>
      <c r="L14" s="36">
        <v>174.1</v>
      </c>
      <c r="M14" s="36">
        <v>689.38</v>
      </c>
      <c r="N14" s="36">
        <v>459.48</v>
      </c>
      <c r="O14" s="36">
        <v>346.42</v>
      </c>
      <c r="P14" s="36">
        <v>360.42</v>
      </c>
      <c r="Q14" s="36">
        <v>306.54000000000002</v>
      </c>
      <c r="R14" s="36">
        <v>360.55</v>
      </c>
      <c r="S14" s="36">
        <v>446.31</v>
      </c>
      <c r="T14" s="36">
        <v>386.25</v>
      </c>
      <c r="U14" s="36">
        <v>409.66</v>
      </c>
      <c r="V14" s="36">
        <v>617.65</v>
      </c>
      <c r="W14" s="36">
        <v>382.89</v>
      </c>
      <c r="X14" s="36">
        <v>649.45000000000005</v>
      </c>
      <c r="Y14" s="36">
        <v>365.94</v>
      </c>
      <c r="Z14" s="101">
        <f>SUM(B14:Y14)</f>
        <v>9201.3100000000013</v>
      </c>
      <c r="AA14" s="109">
        <v>366.23</v>
      </c>
      <c r="AB14" s="93">
        <f>Z14+AA14</f>
        <v>9567.5400000000009</v>
      </c>
    </row>
    <row r="15" spans="1:28" ht="18" customHeight="1" x14ac:dyDescent="0.25">
      <c r="A15" s="35" t="s">
        <v>8</v>
      </c>
      <c r="B15" s="36">
        <v>15</v>
      </c>
      <c r="C15" s="36">
        <v>2112.5</v>
      </c>
      <c r="D15" s="36">
        <v>1618.95</v>
      </c>
      <c r="E15" s="36">
        <v>1646.89</v>
      </c>
      <c r="F15" s="36">
        <v>1456.1</v>
      </c>
      <c r="G15" s="36">
        <v>942.18</v>
      </c>
      <c r="H15" s="36">
        <v>868.95</v>
      </c>
      <c r="I15" s="36">
        <v>923.23</v>
      </c>
      <c r="J15" s="36">
        <v>1295.9100000000001</v>
      </c>
      <c r="K15" s="36">
        <v>616.14</v>
      </c>
      <c r="L15" s="36">
        <v>1492.67</v>
      </c>
      <c r="M15" s="36">
        <v>1197.74</v>
      </c>
      <c r="N15" s="36">
        <v>2327.58</v>
      </c>
      <c r="O15" s="36">
        <v>1071.5899999999999</v>
      </c>
      <c r="P15" s="36">
        <v>1321.83</v>
      </c>
      <c r="Q15" s="36">
        <v>740.58</v>
      </c>
      <c r="R15" s="36">
        <v>1907.55</v>
      </c>
      <c r="S15" s="36">
        <v>761.5</v>
      </c>
      <c r="T15" s="36">
        <v>1004.28</v>
      </c>
      <c r="U15" s="36">
        <v>1183.79</v>
      </c>
      <c r="V15" s="36">
        <v>2757.42</v>
      </c>
      <c r="W15" s="36">
        <v>1151.6500000000001</v>
      </c>
      <c r="X15" s="36">
        <v>670.19</v>
      </c>
      <c r="Y15" s="36">
        <v>1668.14</v>
      </c>
      <c r="Z15" s="101">
        <f>SUM(B15:Y15)</f>
        <v>30752.360000000004</v>
      </c>
      <c r="AA15" s="109">
        <v>670.18</v>
      </c>
      <c r="AB15" s="93">
        <f>Z15+AA15</f>
        <v>31422.540000000005</v>
      </c>
    </row>
    <row r="16" spans="1:28" ht="18" customHeight="1" x14ac:dyDescent="0.25">
      <c r="A16" s="35" t="s">
        <v>13</v>
      </c>
      <c r="B16" s="36">
        <v>0</v>
      </c>
      <c r="C16" s="36">
        <v>0</v>
      </c>
      <c r="D16" s="36">
        <v>0</v>
      </c>
      <c r="E16" s="36">
        <v>0</v>
      </c>
      <c r="F16" s="36">
        <v>131.62</v>
      </c>
      <c r="G16" s="36">
        <v>21.94</v>
      </c>
      <c r="H16" s="36">
        <v>0</v>
      </c>
      <c r="I16" s="36">
        <v>0</v>
      </c>
      <c r="J16" s="36">
        <v>0</v>
      </c>
      <c r="K16" s="36">
        <v>47.98</v>
      </c>
      <c r="L16" s="36">
        <v>70.12</v>
      </c>
      <c r="M16" s="36">
        <v>0</v>
      </c>
      <c r="N16" s="36">
        <v>95.54</v>
      </c>
      <c r="O16" s="36">
        <v>25.3</v>
      </c>
      <c r="P16" s="36">
        <v>0</v>
      </c>
      <c r="Q16" s="36">
        <v>0</v>
      </c>
      <c r="R16" s="36">
        <v>82.82</v>
      </c>
      <c r="S16" s="36">
        <v>0</v>
      </c>
      <c r="T16" s="36">
        <v>0</v>
      </c>
      <c r="U16" s="36">
        <v>38.39</v>
      </c>
      <c r="V16" s="36">
        <v>204.69</v>
      </c>
      <c r="W16" s="36">
        <v>0</v>
      </c>
      <c r="X16" s="36">
        <v>0</v>
      </c>
      <c r="Y16" s="36">
        <v>0</v>
      </c>
      <c r="Z16" s="101">
        <f>SUM(B16:Y16)</f>
        <v>718.40000000000009</v>
      </c>
      <c r="AA16" s="109">
        <v>75.3</v>
      </c>
      <c r="AB16" s="93">
        <f>Z16+AA16</f>
        <v>793.7</v>
      </c>
    </row>
    <row r="17" spans="1:28" ht="18" customHeight="1" thickBot="1" x14ac:dyDescent="0.3">
      <c r="A17" s="35" t="s">
        <v>22</v>
      </c>
      <c r="B17" s="36">
        <v>0</v>
      </c>
      <c r="C17" s="36">
        <v>74.44</v>
      </c>
      <c r="D17" s="36">
        <v>335.2</v>
      </c>
      <c r="E17" s="36">
        <v>0</v>
      </c>
      <c r="F17" s="36">
        <v>219.26</v>
      </c>
      <c r="G17" s="36">
        <v>160.46</v>
      </c>
      <c r="H17" s="36">
        <v>0</v>
      </c>
      <c r="I17" s="36">
        <v>0</v>
      </c>
      <c r="J17" s="36">
        <v>164.56</v>
      </c>
      <c r="K17" s="36">
        <v>0</v>
      </c>
      <c r="L17" s="36">
        <v>163.44</v>
      </c>
      <c r="M17" s="36">
        <v>0</v>
      </c>
      <c r="N17" s="36">
        <v>0</v>
      </c>
      <c r="O17" s="36">
        <v>0</v>
      </c>
      <c r="P17" s="36">
        <v>0</v>
      </c>
      <c r="Q17" s="36">
        <v>161.94999999999999</v>
      </c>
      <c r="R17" s="36">
        <v>610.77</v>
      </c>
      <c r="S17" s="36">
        <v>239.54</v>
      </c>
      <c r="T17" s="36">
        <v>0</v>
      </c>
      <c r="U17" s="36">
        <v>0</v>
      </c>
      <c r="V17" s="36">
        <v>60.16</v>
      </c>
      <c r="W17" s="36">
        <v>327.60000000000002</v>
      </c>
      <c r="X17" s="36">
        <v>73.94</v>
      </c>
      <c r="Y17" s="36">
        <v>0</v>
      </c>
      <c r="Z17" s="101">
        <f>SUM(B17:Y17)</f>
        <v>2591.3200000000002</v>
      </c>
      <c r="AA17" s="109">
        <v>0</v>
      </c>
      <c r="AB17" s="93">
        <f>Z17+AA17</f>
        <v>2591.3200000000002</v>
      </c>
    </row>
    <row r="18" spans="1:28" ht="18" customHeight="1" thickBot="1" x14ac:dyDescent="0.3">
      <c r="A18" s="85" t="s">
        <v>20</v>
      </c>
      <c r="B18" s="89">
        <f>SUM(B14:B17)</f>
        <v>157.85</v>
      </c>
      <c r="C18" s="89">
        <f t="shared" ref="C18:AB18" si="1">SUM(C14:C17)</f>
        <v>2693.64</v>
      </c>
      <c r="D18" s="89">
        <f t="shared" si="1"/>
        <v>2352.12</v>
      </c>
      <c r="E18" s="89">
        <f t="shared" si="1"/>
        <v>2167.9900000000002</v>
      </c>
      <c r="F18" s="89">
        <f t="shared" si="1"/>
        <v>2039.2499999999998</v>
      </c>
      <c r="G18" s="89">
        <f t="shared" si="1"/>
        <v>1206.05</v>
      </c>
      <c r="H18" s="89">
        <f t="shared" si="1"/>
        <v>1216.68</v>
      </c>
      <c r="I18" s="89">
        <f t="shared" si="1"/>
        <v>1270.96</v>
      </c>
      <c r="J18" s="89">
        <f t="shared" si="1"/>
        <v>1743.56</v>
      </c>
      <c r="K18" s="89">
        <f t="shared" si="1"/>
        <v>1049.48</v>
      </c>
      <c r="L18" s="89">
        <f t="shared" si="1"/>
        <v>1900.33</v>
      </c>
      <c r="M18" s="89">
        <f t="shared" si="1"/>
        <v>1887.12</v>
      </c>
      <c r="N18" s="89">
        <f t="shared" si="1"/>
        <v>2882.6</v>
      </c>
      <c r="O18" s="89">
        <f t="shared" si="1"/>
        <v>1443.31</v>
      </c>
      <c r="P18" s="89">
        <f t="shared" si="1"/>
        <v>1682.25</v>
      </c>
      <c r="Q18" s="89">
        <f t="shared" si="1"/>
        <v>1209.0700000000002</v>
      </c>
      <c r="R18" s="89">
        <f t="shared" si="1"/>
        <v>2961.69</v>
      </c>
      <c r="S18" s="89">
        <f t="shared" si="1"/>
        <v>1447.35</v>
      </c>
      <c r="T18" s="89">
        <f t="shared" si="1"/>
        <v>1390.53</v>
      </c>
      <c r="U18" s="89">
        <f t="shared" si="1"/>
        <v>1631.8400000000001</v>
      </c>
      <c r="V18" s="89">
        <f t="shared" si="1"/>
        <v>3639.92</v>
      </c>
      <c r="W18" s="89">
        <f t="shared" si="1"/>
        <v>1862.1399999999999</v>
      </c>
      <c r="X18" s="89">
        <f t="shared" si="1"/>
        <v>1393.5800000000002</v>
      </c>
      <c r="Y18" s="89">
        <f t="shared" si="1"/>
        <v>2034.0800000000002</v>
      </c>
      <c r="Z18" s="102">
        <f>SUM(Z14:Z17)</f>
        <v>43263.390000000007</v>
      </c>
      <c r="AA18" s="102">
        <f>SUM(AA14:AA17)</f>
        <v>1111.7099999999998</v>
      </c>
      <c r="AB18" s="94">
        <f t="shared" si="1"/>
        <v>44375.1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369.35</v>
      </c>
      <c r="C20" s="39">
        <f t="shared" ref="C20:AB20" si="2">SUM(C11,C18)</f>
        <v>74160.91</v>
      </c>
      <c r="D20" s="39">
        <f t="shared" si="2"/>
        <v>57652.27</v>
      </c>
      <c r="E20" s="39">
        <f t="shared" si="2"/>
        <v>57980.86</v>
      </c>
      <c r="F20" s="39">
        <f t="shared" si="2"/>
        <v>43534.21</v>
      </c>
      <c r="G20" s="39">
        <f t="shared" si="2"/>
        <v>24022.68</v>
      </c>
      <c r="H20" s="39">
        <f t="shared" si="2"/>
        <v>46902.080000000002</v>
      </c>
      <c r="I20" s="39">
        <f t="shared" si="2"/>
        <v>28598.22</v>
      </c>
      <c r="J20" s="39">
        <f t="shared" si="2"/>
        <v>47601.16</v>
      </c>
      <c r="K20" s="39">
        <f t="shared" si="2"/>
        <v>24541.960000000003</v>
      </c>
      <c r="L20" s="39">
        <f t="shared" si="2"/>
        <v>27061.260000000002</v>
      </c>
      <c r="M20" s="39">
        <f t="shared" si="2"/>
        <v>46557.390000000007</v>
      </c>
      <c r="N20" s="39">
        <f t="shared" si="2"/>
        <v>79093.14</v>
      </c>
      <c r="O20" s="39">
        <f t="shared" si="2"/>
        <v>44810.07</v>
      </c>
      <c r="P20" s="39">
        <f t="shared" si="2"/>
        <v>56775.240000000005</v>
      </c>
      <c r="Q20" s="39">
        <f t="shared" si="2"/>
        <v>33085.030000000006</v>
      </c>
      <c r="R20" s="39">
        <f t="shared" si="2"/>
        <v>56624.1</v>
      </c>
      <c r="S20" s="39">
        <f t="shared" si="2"/>
        <v>51466.720000000001</v>
      </c>
      <c r="T20" s="39">
        <f t="shared" si="2"/>
        <v>35456.17</v>
      </c>
      <c r="U20" s="39">
        <f t="shared" si="2"/>
        <v>36367.279999999999</v>
      </c>
      <c r="V20" s="39">
        <f t="shared" si="2"/>
        <v>57465.79</v>
      </c>
      <c r="W20" s="39">
        <f t="shared" si="2"/>
        <v>46790.18</v>
      </c>
      <c r="X20" s="39">
        <f t="shared" si="2"/>
        <v>39478.639999999999</v>
      </c>
      <c r="Y20" s="39">
        <f t="shared" si="2"/>
        <v>27866.770000000004</v>
      </c>
      <c r="Z20" s="139">
        <f>Z11+Z18</f>
        <v>1044261.48</v>
      </c>
      <c r="AA20" s="143">
        <f>AA11+AA18</f>
        <v>25916.07</v>
      </c>
      <c r="AB20" s="136">
        <f t="shared" si="2"/>
        <v>1070177.55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B18/1.105</f>
        <v>142.85067873303169</v>
      </c>
      <c r="C28" s="56">
        <f>C18/1.105</f>
        <v>2437.683257918552</v>
      </c>
      <c r="D28" s="56">
        <f>D18/1.1025</f>
        <v>2133.442176870748</v>
      </c>
      <c r="E28" s="56">
        <f>E18/1.105</f>
        <v>1961.9819004524888</v>
      </c>
      <c r="F28" s="56">
        <f>F18/1.0775</f>
        <v>1892.5754060324825</v>
      </c>
      <c r="G28" s="56">
        <f>G18/1.0775</f>
        <v>1119.3039443155453</v>
      </c>
      <c r="H28" s="56">
        <f>H18/1.0775</f>
        <v>1129.1693735498841</v>
      </c>
      <c r="I28" s="56">
        <f>I18/1.0775</f>
        <v>1179.5452436194896</v>
      </c>
      <c r="J28" s="56">
        <f>J18/1.105</f>
        <v>1577.8823529411764</v>
      </c>
      <c r="K28" s="56">
        <f>K18/1.1025</f>
        <v>951.90929705215422</v>
      </c>
      <c r="L28" s="56">
        <f>L18/1.0975</f>
        <v>1731.5079726651481</v>
      </c>
      <c r="M28" s="56">
        <f>M18/1.0975</f>
        <v>1719.4715261958997</v>
      </c>
      <c r="N28" s="56">
        <f>N18/1.0975</f>
        <v>2626.5148063781321</v>
      </c>
      <c r="O28" s="56">
        <f>O18/1.0925</f>
        <v>1321.1075514874142</v>
      </c>
      <c r="P28" s="56">
        <f>P18/1.105</f>
        <v>1522.3981900452488</v>
      </c>
      <c r="Q28" s="56">
        <f>Q18/1.0875</f>
        <v>1111.7885057471267</v>
      </c>
      <c r="R28" s="56">
        <f>R18/1.0975</f>
        <v>2698.5785876993168</v>
      </c>
      <c r="S28" s="56">
        <f>S18/1.1075</f>
        <v>1306.8623024830699</v>
      </c>
      <c r="T28" s="56">
        <f>T18/1.105</f>
        <v>1258.3981900452488</v>
      </c>
      <c r="U28" s="56">
        <f>U18/1.105</f>
        <v>1476.7782805429865</v>
      </c>
      <c r="V28" s="56">
        <f>V18/1.1025</f>
        <v>3301.5147392290251</v>
      </c>
      <c r="W28" s="56">
        <f>W18/1.0775</f>
        <v>1728.2041763341067</v>
      </c>
      <c r="X28" s="56">
        <f>X18/1.0975</f>
        <v>1269.7767653758544</v>
      </c>
      <c r="Y28" s="56">
        <f>Y18/1.0875</f>
        <v>1870.4183908045979</v>
      </c>
      <c r="Z28" s="127">
        <f>SUM(B28:Y28)</f>
        <v>39469.663616518723</v>
      </c>
      <c r="AA28" s="128">
        <f>AA18/1.0838</f>
        <v>1025.7519837608413</v>
      </c>
      <c r="AB28" s="100">
        <f>Z28+AA28</f>
        <v>40495.415600279564</v>
      </c>
    </row>
    <row r="29" spans="1:28" ht="18" customHeight="1" thickBot="1" x14ac:dyDescent="0.3">
      <c r="A29" s="52" t="s">
        <v>63</v>
      </c>
      <c r="B29" s="56">
        <f>B18-B28</f>
        <v>14.999321266968309</v>
      </c>
      <c r="C29" s="56">
        <f t="shared" ref="C29:Y29" si="3">C18-C28</f>
        <v>255.95674208144783</v>
      </c>
      <c r="D29" s="56">
        <f t="shared" si="3"/>
        <v>218.67782312925192</v>
      </c>
      <c r="E29" s="56">
        <f t="shared" si="3"/>
        <v>206.00809954751139</v>
      </c>
      <c r="F29" s="56">
        <f t="shared" si="3"/>
        <v>146.67459396751724</v>
      </c>
      <c r="G29" s="56">
        <f t="shared" si="3"/>
        <v>86.746055684454632</v>
      </c>
      <c r="H29" s="56">
        <f t="shared" si="3"/>
        <v>87.510626450115979</v>
      </c>
      <c r="I29" s="56">
        <f t="shared" si="3"/>
        <v>91.414756380510426</v>
      </c>
      <c r="J29" s="56">
        <f t="shared" si="3"/>
        <v>165.6776470588236</v>
      </c>
      <c r="K29" s="56">
        <f t="shared" si="3"/>
        <v>97.570702947845803</v>
      </c>
      <c r="L29" s="56">
        <f t="shared" si="3"/>
        <v>168.82202733485178</v>
      </c>
      <c r="M29" s="56">
        <f t="shared" si="3"/>
        <v>167.64847380410015</v>
      </c>
      <c r="N29" s="56">
        <f t="shared" si="3"/>
        <v>256.0851936218678</v>
      </c>
      <c r="O29" s="56">
        <f t="shared" si="3"/>
        <v>122.20244851258576</v>
      </c>
      <c r="P29" s="56">
        <f t="shared" si="3"/>
        <v>159.85180995475116</v>
      </c>
      <c r="Q29" s="56">
        <f t="shared" si="3"/>
        <v>97.281494252873472</v>
      </c>
      <c r="R29" s="56">
        <f t="shared" si="3"/>
        <v>263.11141230068324</v>
      </c>
      <c r="S29" s="56">
        <f t="shared" si="3"/>
        <v>140.48769751692998</v>
      </c>
      <c r="T29" s="56">
        <f t="shared" si="3"/>
        <v>132.13180995475113</v>
      </c>
      <c r="U29" s="56">
        <f t="shared" si="3"/>
        <v>155.06171945701362</v>
      </c>
      <c r="V29" s="56">
        <f t="shared" si="3"/>
        <v>338.40526077097502</v>
      </c>
      <c r="W29" s="56">
        <f t="shared" si="3"/>
        <v>133.93582366589317</v>
      </c>
      <c r="X29" s="56">
        <f t="shared" si="3"/>
        <v>123.80323462414572</v>
      </c>
      <c r="Y29" s="56">
        <f t="shared" si="3"/>
        <v>163.66160919540221</v>
      </c>
      <c r="Z29" s="135">
        <f>SUM(B29:Y29)</f>
        <v>3793.7263834812711</v>
      </c>
      <c r="AA29" s="144">
        <f>AA18-AA28</f>
        <v>85.958016239158496</v>
      </c>
      <c r="AB29" s="100">
        <f>Z29+AA29</f>
        <v>3879.6843997204296</v>
      </c>
    </row>
    <row r="30" spans="1:28" ht="18" customHeight="1" thickBot="1" x14ac:dyDescent="0.3">
      <c r="A30" s="49"/>
      <c r="B30" s="129">
        <f>B28+B29</f>
        <v>157.85</v>
      </c>
      <c r="C30" s="129">
        <f t="shared" ref="C30:AA30" si="4">C28+C29</f>
        <v>2693.64</v>
      </c>
      <c r="D30" s="129">
        <f t="shared" si="4"/>
        <v>2352.12</v>
      </c>
      <c r="E30" s="129">
        <f t="shared" si="4"/>
        <v>2167.9900000000002</v>
      </c>
      <c r="F30" s="129">
        <f t="shared" si="4"/>
        <v>2039.2499999999998</v>
      </c>
      <c r="G30" s="129">
        <f t="shared" si="4"/>
        <v>1206.05</v>
      </c>
      <c r="H30" s="129">
        <f t="shared" si="4"/>
        <v>1216.68</v>
      </c>
      <c r="I30" s="129">
        <f t="shared" si="4"/>
        <v>1270.96</v>
      </c>
      <c r="J30" s="129">
        <f t="shared" si="4"/>
        <v>1743.56</v>
      </c>
      <c r="K30" s="129">
        <f t="shared" si="4"/>
        <v>1049.48</v>
      </c>
      <c r="L30" s="129">
        <f t="shared" si="4"/>
        <v>1900.33</v>
      </c>
      <c r="M30" s="129">
        <f t="shared" si="4"/>
        <v>1887.12</v>
      </c>
      <c r="N30" s="129">
        <f t="shared" si="4"/>
        <v>2882.6</v>
      </c>
      <c r="O30" s="129">
        <f t="shared" si="4"/>
        <v>1443.31</v>
      </c>
      <c r="P30" s="129">
        <f t="shared" si="4"/>
        <v>1682.25</v>
      </c>
      <c r="Q30" s="129">
        <f t="shared" si="4"/>
        <v>1209.0700000000002</v>
      </c>
      <c r="R30" s="129">
        <f t="shared" si="4"/>
        <v>2961.69</v>
      </c>
      <c r="S30" s="129">
        <f t="shared" si="4"/>
        <v>1447.35</v>
      </c>
      <c r="T30" s="129">
        <f t="shared" si="4"/>
        <v>1390.53</v>
      </c>
      <c r="U30" s="129">
        <f t="shared" si="4"/>
        <v>1631.8400000000001</v>
      </c>
      <c r="V30" s="129">
        <f t="shared" si="4"/>
        <v>3639.92</v>
      </c>
      <c r="W30" s="129">
        <f t="shared" si="4"/>
        <v>1862.1399999999999</v>
      </c>
      <c r="X30" s="129">
        <f t="shared" si="4"/>
        <v>1393.5800000000002</v>
      </c>
      <c r="Y30" s="129">
        <f t="shared" si="4"/>
        <v>2034.0800000000002</v>
      </c>
      <c r="Z30" s="130">
        <f>Z28+Z29</f>
        <v>43263.389999999992</v>
      </c>
      <c r="AA30" s="131">
        <f t="shared" si="4"/>
        <v>1111.7099999999998</v>
      </c>
      <c r="AB30" s="132">
        <f>SUM(AB28:AB29)</f>
        <v>44375.099999999991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1066297.8656002795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1728.2041763341067</v>
      </c>
      <c r="C38" s="71">
        <f>X28</f>
        <v>1269.7767653758544</v>
      </c>
      <c r="D38" s="72">
        <f>Q28</f>
        <v>1111.7885057471267</v>
      </c>
      <c r="E38" s="72">
        <f>S28</f>
        <v>1306.8623024830699</v>
      </c>
      <c r="F38" s="72">
        <f>L28+M28+N28+R28+X28</f>
        <v>10045.849658314351</v>
      </c>
      <c r="G38" s="72">
        <f>P28</f>
        <v>1522.3981900452488</v>
      </c>
      <c r="H38" s="72">
        <f>T28</f>
        <v>1258.3981900452488</v>
      </c>
      <c r="I38" s="72">
        <f>V28</f>
        <v>3301.5147392290251</v>
      </c>
      <c r="J38" s="72">
        <f>C28</f>
        <v>2437.683257918552</v>
      </c>
      <c r="K38" s="72">
        <f>O28</f>
        <v>1321.1075514874142</v>
      </c>
      <c r="L38" s="72">
        <f>J28</f>
        <v>1577.8823529411764</v>
      </c>
      <c r="M38" s="72">
        <f>B28+E28</f>
        <v>2104.8325791855204</v>
      </c>
      <c r="N38" s="72">
        <f>U28</f>
        <v>1476.7782805429865</v>
      </c>
      <c r="O38" s="73">
        <f>D28+K28</f>
        <v>3085.3514739229022</v>
      </c>
      <c r="P38" s="72">
        <f>Y28</f>
        <v>1870.4183908045979</v>
      </c>
      <c r="Q38" s="118">
        <f>SUM(B38:P38)</f>
        <v>35418.846414377178</v>
      </c>
      <c r="R38" s="42">
        <f>AA28</f>
        <v>1025.7519837608413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133.93582366589328</v>
      </c>
      <c r="C40" s="80">
        <f t="shared" ref="C40:P40" si="5">C38*C39</f>
        <v>98.407699316628722</v>
      </c>
      <c r="D40" s="80">
        <f t="shared" si="5"/>
        <v>97.281494252873586</v>
      </c>
      <c r="E40" s="80">
        <f t="shared" si="5"/>
        <v>140.48769751693001</v>
      </c>
      <c r="F40" s="80">
        <f t="shared" si="5"/>
        <v>979.47034168564926</v>
      </c>
      <c r="G40" s="80">
        <f t="shared" si="5"/>
        <v>159.85180995475113</v>
      </c>
      <c r="H40" s="80">
        <f t="shared" si="5"/>
        <v>132.13180995475113</v>
      </c>
      <c r="I40" s="80">
        <f t="shared" si="5"/>
        <v>338.40526077097508</v>
      </c>
      <c r="J40" s="80">
        <f t="shared" si="5"/>
        <v>255.95674208144794</v>
      </c>
      <c r="K40" s="80">
        <f t="shared" si="5"/>
        <v>122.2024485125858</v>
      </c>
      <c r="L40" s="80">
        <f t="shared" si="5"/>
        <v>165.67764705882351</v>
      </c>
      <c r="M40" s="80">
        <f t="shared" si="5"/>
        <v>221.00742081447964</v>
      </c>
      <c r="N40" s="80">
        <f t="shared" si="5"/>
        <v>155.06171945701357</v>
      </c>
      <c r="O40" s="81">
        <f t="shared" si="5"/>
        <v>316.24852607709744</v>
      </c>
      <c r="P40" s="80">
        <f t="shared" si="5"/>
        <v>163.66160919540232</v>
      </c>
      <c r="Q40" s="138">
        <f>SUM(B40:P40)</f>
        <v>3479.7880503153024</v>
      </c>
      <c r="R40" s="137">
        <f>R38*R39</f>
        <v>85.958016239158496</v>
      </c>
    </row>
    <row r="41" spans="1:28" ht="18" customHeight="1" thickBot="1" x14ac:dyDescent="0.3">
      <c r="A41" s="49" t="s">
        <v>4</v>
      </c>
      <c r="B41" s="82">
        <f>B38+B40</f>
        <v>1862.1399999999999</v>
      </c>
      <c r="C41" s="83">
        <f t="shared" ref="C41:R41" si="6">C38+C40</f>
        <v>1368.1844646924831</v>
      </c>
      <c r="D41" s="83">
        <f t="shared" si="6"/>
        <v>1209.0700000000002</v>
      </c>
      <c r="E41" s="83">
        <f t="shared" si="6"/>
        <v>1447.35</v>
      </c>
      <c r="F41" s="83">
        <f t="shared" si="6"/>
        <v>11025.320000000002</v>
      </c>
      <c r="G41" s="83">
        <f t="shared" si="6"/>
        <v>1682.25</v>
      </c>
      <c r="H41" s="83">
        <f t="shared" si="6"/>
        <v>1390.53</v>
      </c>
      <c r="I41" s="83">
        <f t="shared" si="6"/>
        <v>3639.92</v>
      </c>
      <c r="J41" s="83">
        <f t="shared" si="6"/>
        <v>2693.64</v>
      </c>
      <c r="K41" s="83">
        <f t="shared" si="6"/>
        <v>1443.31</v>
      </c>
      <c r="L41" s="83">
        <f t="shared" si="6"/>
        <v>1743.56</v>
      </c>
      <c r="M41" s="83">
        <f t="shared" si="6"/>
        <v>2325.84</v>
      </c>
      <c r="N41" s="83">
        <f t="shared" si="6"/>
        <v>1631.8400000000001</v>
      </c>
      <c r="O41" s="84">
        <f t="shared" si="6"/>
        <v>3401.5999999999995</v>
      </c>
      <c r="P41" s="83">
        <f t="shared" si="6"/>
        <v>2034.0800000000004</v>
      </c>
      <c r="Q41" s="120">
        <f>SUM(B41:P41)</f>
        <v>38898.634464692484</v>
      </c>
      <c r="R41" s="85">
        <f t="shared" si="6"/>
        <v>1111.7099999999998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A8AA0-101C-4E26-B3B2-898682E39944}">
  <sheetPr>
    <tabColor theme="1"/>
    <pageSetUpPr fitToPage="1"/>
  </sheetPr>
  <dimension ref="A1:AB41"/>
  <sheetViews>
    <sheetView zoomScale="90" zoomScaleNormal="90" workbookViewId="0">
      <selection activeCell="B28" sqref="B28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100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500</v>
      </c>
      <c r="C7" s="36">
        <v>74775.72</v>
      </c>
      <c r="D7" s="36">
        <v>52903.02</v>
      </c>
      <c r="E7" s="36">
        <v>59180.88</v>
      </c>
      <c r="F7" s="36">
        <v>48514.09</v>
      </c>
      <c r="G7" s="36">
        <v>24622.61</v>
      </c>
      <c r="H7" s="36">
        <v>43175.06</v>
      </c>
      <c r="I7" s="36">
        <v>30374.99</v>
      </c>
      <c r="J7" s="36">
        <v>48431.14</v>
      </c>
      <c r="K7" s="36">
        <v>23384.06</v>
      </c>
      <c r="L7" s="36">
        <v>27545.01</v>
      </c>
      <c r="M7" s="36">
        <v>53837.4</v>
      </c>
      <c r="N7" s="36">
        <v>77464.7</v>
      </c>
      <c r="O7" s="36">
        <v>46702.8</v>
      </c>
      <c r="P7" s="36">
        <v>64125.79</v>
      </c>
      <c r="Q7" s="36">
        <v>37355.35</v>
      </c>
      <c r="R7" s="36">
        <v>52155.58</v>
      </c>
      <c r="S7" s="36">
        <v>55203.11</v>
      </c>
      <c r="T7" s="36">
        <v>42475.43</v>
      </c>
      <c r="U7" s="36">
        <v>32316.57</v>
      </c>
      <c r="V7" s="36">
        <v>58561.84</v>
      </c>
      <c r="W7" s="36">
        <v>50448.92</v>
      </c>
      <c r="X7" s="36">
        <v>37363.57</v>
      </c>
      <c r="Y7" s="36">
        <v>29277.93</v>
      </c>
      <c r="Z7" s="101">
        <f>SUM(B7:Y7)</f>
        <v>1070695.57</v>
      </c>
      <c r="AA7" s="109">
        <v>24367.57</v>
      </c>
      <c r="AB7" s="93">
        <f>Z7+AA7</f>
        <v>1095063.1400000001</v>
      </c>
    </row>
    <row r="8" spans="1:28" ht="17.25" customHeight="1" x14ac:dyDescent="0.25">
      <c r="A8" s="35" t="s">
        <v>6</v>
      </c>
      <c r="B8" s="36">
        <v>0</v>
      </c>
      <c r="C8" s="36">
        <v>496.2</v>
      </c>
      <c r="D8" s="36">
        <v>165.4</v>
      </c>
      <c r="E8" s="36">
        <v>330.8</v>
      </c>
      <c r="F8" s="36">
        <v>206.75</v>
      </c>
      <c r="G8" s="36">
        <v>82.7</v>
      </c>
      <c r="H8" s="36">
        <v>206.75</v>
      </c>
      <c r="I8" s="36">
        <v>206.75</v>
      </c>
      <c r="J8" s="36">
        <v>289.45</v>
      </c>
      <c r="K8" s="36">
        <v>82.7</v>
      </c>
      <c r="L8" s="36">
        <v>124.05</v>
      </c>
      <c r="M8" s="36">
        <v>289.45</v>
      </c>
      <c r="N8" s="36">
        <v>537.54999999999995</v>
      </c>
      <c r="O8" s="36">
        <v>124.05</v>
      </c>
      <c r="P8" s="36">
        <v>546.73</v>
      </c>
      <c r="Q8" s="36">
        <v>248.1</v>
      </c>
      <c r="R8" s="36">
        <v>165.4</v>
      </c>
      <c r="S8" s="36">
        <v>248.1</v>
      </c>
      <c r="T8" s="36">
        <v>330.8</v>
      </c>
      <c r="U8" s="36">
        <v>82.7</v>
      </c>
      <c r="V8" s="36">
        <v>454.85</v>
      </c>
      <c r="W8" s="36">
        <v>165.4</v>
      </c>
      <c r="X8" s="36">
        <v>330.8</v>
      </c>
      <c r="Y8" s="36">
        <v>165.4</v>
      </c>
      <c r="Z8" s="101">
        <f>SUM(B8:Y8)</f>
        <v>5880.88</v>
      </c>
      <c r="AA8" s="109">
        <v>165.4</v>
      </c>
      <c r="AB8" s="93">
        <f>Z8+AA8</f>
        <v>6046.28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25.33</v>
      </c>
      <c r="H9" s="36">
        <v>0</v>
      </c>
      <c r="I9" s="36">
        <v>0</v>
      </c>
      <c r="J9" s="36">
        <v>0</v>
      </c>
      <c r="K9" s="36">
        <v>22.36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101">
        <f>SUM(B9:Y9)</f>
        <v>47.69</v>
      </c>
      <c r="AA9" s="109">
        <v>0</v>
      </c>
      <c r="AB9" s="93">
        <f>Z9+AA9</f>
        <v>47.69</v>
      </c>
    </row>
    <row r="10" spans="1:28" ht="18" customHeight="1" thickBot="1" x14ac:dyDescent="0.3">
      <c r="A10" s="35" t="s">
        <v>7</v>
      </c>
      <c r="B10" s="36">
        <v>0</v>
      </c>
      <c r="C10" s="36">
        <v>0.32</v>
      </c>
      <c r="D10" s="36">
        <v>0.2</v>
      </c>
      <c r="E10" s="36">
        <v>0.13</v>
      </c>
      <c r="F10" s="36">
        <v>0.14000000000000001</v>
      </c>
      <c r="G10" s="36">
        <v>0.14000000000000001</v>
      </c>
      <c r="H10" s="36">
        <v>0.09</v>
      </c>
      <c r="I10" s="36">
        <v>0.12</v>
      </c>
      <c r="J10" s="36">
        <v>0.14000000000000001</v>
      </c>
      <c r="K10" s="36">
        <v>7.0000000000000007E-2</v>
      </c>
      <c r="L10" s="36">
        <v>0.06</v>
      </c>
      <c r="M10" s="36">
        <v>0.14000000000000001</v>
      </c>
      <c r="N10" s="36">
        <v>0.33</v>
      </c>
      <c r="O10" s="36">
        <v>0.18</v>
      </c>
      <c r="P10" s="36">
        <v>0.22</v>
      </c>
      <c r="Q10" s="36">
        <v>0.12</v>
      </c>
      <c r="R10" s="36">
        <v>0.56999999999999995</v>
      </c>
      <c r="S10" s="36">
        <v>0.19</v>
      </c>
      <c r="T10" s="36">
        <v>0.17</v>
      </c>
      <c r="U10" s="36">
        <v>0.1</v>
      </c>
      <c r="V10" s="36">
        <v>0.26</v>
      </c>
      <c r="W10" s="36">
        <v>0.14000000000000001</v>
      </c>
      <c r="X10" s="36">
        <v>0.11</v>
      </c>
      <c r="Y10" s="36">
        <v>0.08</v>
      </c>
      <c r="Z10" s="101">
        <f>SUM(B10:Y10)</f>
        <v>4.0200000000000005</v>
      </c>
      <c r="AA10" s="109">
        <v>0.08</v>
      </c>
      <c r="AB10" s="93">
        <f>Z10+AA10</f>
        <v>4.1000000000000005</v>
      </c>
    </row>
    <row r="11" spans="1:28" ht="18" customHeight="1" thickBot="1" x14ac:dyDescent="0.3">
      <c r="A11" s="49" t="s">
        <v>19</v>
      </c>
      <c r="B11" s="89">
        <v>0</v>
      </c>
      <c r="C11" s="89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140">
        <f>SUM(Z7:Z10)</f>
        <v>1076628.1599999999</v>
      </c>
      <c r="AA11" s="141">
        <f>SUM(AA7:AA10)</f>
        <v>24533.050000000003</v>
      </c>
      <c r="AB11" s="142">
        <f>SUM(AB7:AB10)</f>
        <v>1101161.2100000002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0</v>
      </c>
      <c r="C14" s="36">
        <v>166.26</v>
      </c>
      <c r="D14" s="36">
        <v>348.54</v>
      </c>
      <c r="E14" s="36">
        <v>204.93</v>
      </c>
      <c r="F14" s="36">
        <v>113.1</v>
      </c>
      <c r="G14" s="36">
        <v>0</v>
      </c>
      <c r="H14" s="36">
        <v>226.22</v>
      </c>
      <c r="I14" s="36">
        <v>218.74</v>
      </c>
      <c r="J14" s="36">
        <v>115.99</v>
      </c>
      <c r="K14" s="36">
        <v>77.150000000000006</v>
      </c>
      <c r="L14" s="36">
        <v>38.4</v>
      </c>
      <c r="M14" s="36">
        <v>235.56</v>
      </c>
      <c r="N14" s="36">
        <v>76.8</v>
      </c>
      <c r="O14" s="36">
        <v>58.62</v>
      </c>
      <c r="P14" s="36">
        <v>154.66</v>
      </c>
      <c r="Q14" s="36">
        <v>0</v>
      </c>
      <c r="R14" s="36">
        <v>76.8</v>
      </c>
      <c r="S14" s="36">
        <v>255.78</v>
      </c>
      <c r="T14" s="36">
        <v>360.93</v>
      </c>
      <c r="U14" s="36">
        <v>88.94</v>
      </c>
      <c r="V14" s="36">
        <v>204.47</v>
      </c>
      <c r="W14" s="36">
        <v>169.71</v>
      </c>
      <c r="X14" s="36">
        <v>303.41000000000003</v>
      </c>
      <c r="Y14" s="36">
        <v>183.94</v>
      </c>
      <c r="Z14" s="101">
        <f>SUM(B14:Y14)</f>
        <v>3678.95</v>
      </c>
      <c r="AA14" s="109">
        <v>154.22999999999999</v>
      </c>
      <c r="AB14" s="93">
        <f>Z14+AA14</f>
        <v>3833.18</v>
      </c>
    </row>
    <row r="15" spans="1:28" ht="18" customHeight="1" x14ac:dyDescent="0.25">
      <c r="A15" s="35" t="s">
        <v>8</v>
      </c>
      <c r="B15" s="36">
        <v>724.57</v>
      </c>
      <c r="C15" s="36">
        <v>2662.3</v>
      </c>
      <c r="D15" s="36">
        <v>627.34</v>
      </c>
      <c r="E15" s="36">
        <v>1258.73</v>
      </c>
      <c r="F15" s="36">
        <v>180.51</v>
      </c>
      <c r="G15" s="36">
        <v>606.72</v>
      </c>
      <c r="H15" s="36">
        <v>340.01</v>
      </c>
      <c r="I15" s="36">
        <v>545.51</v>
      </c>
      <c r="J15" s="36">
        <v>669.33</v>
      </c>
      <c r="K15" s="36">
        <v>503.33</v>
      </c>
      <c r="L15" s="36">
        <v>434.67</v>
      </c>
      <c r="M15" s="36">
        <v>775.24</v>
      </c>
      <c r="N15" s="36">
        <v>1785.68</v>
      </c>
      <c r="O15" s="36">
        <v>2268.9699999999998</v>
      </c>
      <c r="P15" s="36">
        <v>1444.28</v>
      </c>
      <c r="Q15" s="36">
        <v>285.75</v>
      </c>
      <c r="R15" s="36">
        <v>1482.61</v>
      </c>
      <c r="S15" s="36">
        <v>444.93</v>
      </c>
      <c r="T15" s="36">
        <v>682.49</v>
      </c>
      <c r="U15" s="36">
        <v>423.31</v>
      </c>
      <c r="V15" s="36">
        <v>1349.58</v>
      </c>
      <c r="W15" s="36">
        <v>635.32000000000005</v>
      </c>
      <c r="X15" s="36">
        <v>264.70999999999998</v>
      </c>
      <c r="Y15" s="36">
        <v>566.57000000000005</v>
      </c>
      <c r="Z15" s="101">
        <f>SUM(B15:Y15)</f>
        <v>20962.46</v>
      </c>
      <c r="AA15" s="109">
        <v>547.71</v>
      </c>
      <c r="AB15" s="93">
        <f>Z15+AA15</f>
        <v>21510.17</v>
      </c>
    </row>
    <row r="16" spans="1:28" ht="18" customHeight="1" x14ac:dyDescent="0.25">
      <c r="A16" s="35" t="s">
        <v>13</v>
      </c>
      <c r="B16" s="36">
        <v>89.99</v>
      </c>
      <c r="C16" s="36">
        <v>224.98</v>
      </c>
      <c r="D16" s="36">
        <v>0</v>
      </c>
      <c r="E16" s="36">
        <v>0</v>
      </c>
      <c r="F16" s="36">
        <v>32.909999999999997</v>
      </c>
      <c r="G16" s="36">
        <v>179.61</v>
      </c>
      <c r="H16" s="36">
        <v>109.69</v>
      </c>
      <c r="I16" s="36">
        <v>0</v>
      </c>
      <c r="J16" s="36">
        <v>0</v>
      </c>
      <c r="K16" s="36">
        <v>99.05</v>
      </c>
      <c r="L16" s="36">
        <v>38.130000000000003</v>
      </c>
      <c r="M16" s="36">
        <v>177.92</v>
      </c>
      <c r="N16" s="36">
        <v>125.99</v>
      </c>
      <c r="O16" s="36">
        <v>356.59</v>
      </c>
      <c r="P16" s="36">
        <v>67.489999999999995</v>
      </c>
      <c r="Q16" s="36">
        <v>0</v>
      </c>
      <c r="R16" s="36">
        <v>127.09</v>
      </c>
      <c r="S16" s="36">
        <v>321.05</v>
      </c>
      <c r="T16" s="36">
        <v>0</v>
      </c>
      <c r="U16" s="36">
        <v>105.89</v>
      </c>
      <c r="V16" s="36">
        <v>56.12</v>
      </c>
      <c r="W16" s="36">
        <v>179.61</v>
      </c>
      <c r="X16" s="36">
        <v>127.09</v>
      </c>
      <c r="Y16" s="36">
        <v>110.71</v>
      </c>
      <c r="Z16" s="101">
        <f>SUM(B16:Y16)</f>
        <v>2529.91</v>
      </c>
      <c r="AA16" s="109">
        <v>0</v>
      </c>
      <c r="AB16" s="93">
        <f>Z16+AA16</f>
        <v>2529.91</v>
      </c>
    </row>
    <row r="17" spans="1:28" ht="18" customHeight="1" thickBot="1" x14ac:dyDescent="0.3">
      <c r="A17" s="35" t="s">
        <v>22</v>
      </c>
      <c r="B17" s="36">
        <v>0</v>
      </c>
      <c r="C17" s="36">
        <v>1080.4100000000001</v>
      </c>
      <c r="D17" s="36">
        <v>245.3</v>
      </c>
      <c r="E17" s="36">
        <v>171.41</v>
      </c>
      <c r="F17" s="36">
        <v>167.14</v>
      </c>
      <c r="G17" s="36">
        <v>167.14</v>
      </c>
      <c r="H17" s="36">
        <v>327.60000000000002</v>
      </c>
      <c r="I17" s="36">
        <v>327.60000000000002</v>
      </c>
      <c r="J17" s="36">
        <v>171.41</v>
      </c>
      <c r="K17" s="36">
        <v>171.02</v>
      </c>
      <c r="L17" s="36">
        <v>170.24</v>
      </c>
      <c r="M17" s="36">
        <v>170.24</v>
      </c>
      <c r="N17" s="36">
        <v>488.36</v>
      </c>
      <c r="O17" s="36">
        <v>405.77</v>
      </c>
      <c r="P17" s="36">
        <v>171.41</v>
      </c>
      <c r="Q17" s="36">
        <v>168.69</v>
      </c>
      <c r="R17" s="36">
        <v>557.67999999999995</v>
      </c>
      <c r="S17" s="36">
        <v>418.21</v>
      </c>
      <c r="T17" s="36">
        <v>171.41</v>
      </c>
      <c r="U17" s="36">
        <v>171.41</v>
      </c>
      <c r="V17" s="36">
        <v>670.41</v>
      </c>
      <c r="W17" s="36">
        <v>334.28</v>
      </c>
      <c r="X17" s="36">
        <v>170.24</v>
      </c>
      <c r="Y17" s="36">
        <v>168.69</v>
      </c>
      <c r="Z17" s="101">
        <f>SUM(B17:Y17)</f>
        <v>7066.0699999999979</v>
      </c>
      <c r="AA17" s="109">
        <v>168.12</v>
      </c>
      <c r="AB17" s="93">
        <f>Z17+AA17</f>
        <v>7234.1899999999978</v>
      </c>
    </row>
    <row r="18" spans="1:28" ht="18" customHeight="1" thickBot="1" x14ac:dyDescent="0.3">
      <c r="A18" s="85" t="s">
        <v>20</v>
      </c>
      <c r="B18" s="89">
        <f>SUM(B14:B17)</f>
        <v>814.56000000000006</v>
      </c>
      <c r="C18" s="89">
        <f t="shared" ref="C18:AB18" si="0">SUM(C14:C17)</f>
        <v>4133.9500000000007</v>
      </c>
      <c r="D18" s="89">
        <f t="shared" si="0"/>
        <v>1221.18</v>
      </c>
      <c r="E18" s="89">
        <f t="shared" si="0"/>
        <v>1635.0700000000002</v>
      </c>
      <c r="F18" s="89">
        <f t="shared" si="0"/>
        <v>493.65999999999997</v>
      </c>
      <c r="G18" s="89">
        <f t="shared" si="0"/>
        <v>953.47</v>
      </c>
      <c r="H18" s="89">
        <f t="shared" si="0"/>
        <v>1003.5200000000001</v>
      </c>
      <c r="I18" s="89">
        <f t="shared" si="0"/>
        <v>1091.8499999999999</v>
      </c>
      <c r="J18" s="89">
        <f t="shared" si="0"/>
        <v>956.73</v>
      </c>
      <c r="K18" s="89">
        <f t="shared" si="0"/>
        <v>850.55</v>
      </c>
      <c r="L18" s="89">
        <f t="shared" si="0"/>
        <v>681.44</v>
      </c>
      <c r="M18" s="89">
        <f t="shared" si="0"/>
        <v>1358.96</v>
      </c>
      <c r="N18" s="89">
        <f t="shared" si="0"/>
        <v>2476.83</v>
      </c>
      <c r="O18" s="89">
        <f t="shared" si="0"/>
        <v>3089.95</v>
      </c>
      <c r="P18" s="89">
        <f t="shared" si="0"/>
        <v>1837.8400000000001</v>
      </c>
      <c r="Q18" s="89">
        <f t="shared" si="0"/>
        <v>454.44</v>
      </c>
      <c r="R18" s="89">
        <f t="shared" si="0"/>
        <v>2244.1799999999998</v>
      </c>
      <c r="S18" s="89">
        <f t="shared" si="0"/>
        <v>1439.97</v>
      </c>
      <c r="T18" s="89">
        <f t="shared" si="0"/>
        <v>1214.8300000000002</v>
      </c>
      <c r="U18" s="89">
        <f t="shared" si="0"/>
        <v>789.55</v>
      </c>
      <c r="V18" s="89">
        <f t="shared" si="0"/>
        <v>2280.58</v>
      </c>
      <c r="W18" s="89">
        <f t="shared" si="0"/>
        <v>1318.92</v>
      </c>
      <c r="X18" s="89">
        <f t="shared" si="0"/>
        <v>865.45</v>
      </c>
      <c r="Y18" s="89">
        <f t="shared" si="0"/>
        <v>1029.9100000000001</v>
      </c>
      <c r="Z18" s="102">
        <f>SUM(Z14:Z17)</f>
        <v>34237.39</v>
      </c>
      <c r="AA18" s="102">
        <f>SUM(AA14:AA17)</f>
        <v>870.06000000000006</v>
      </c>
      <c r="AB18" s="94">
        <f t="shared" si="0"/>
        <v>35107.449999999997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814.56000000000006</v>
      </c>
      <c r="C20" s="39">
        <f t="shared" ref="C20:AB20" si="1">SUM(C11,C18)</f>
        <v>4133.9500000000007</v>
      </c>
      <c r="D20" s="39">
        <f t="shared" si="1"/>
        <v>1221.18</v>
      </c>
      <c r="E20" s="39">
        <f t="shared" si="1"/>
        <v>1635.0700000000002</v>
      </c>
      <c r="F20" s="39">
        <f t="shared" si="1"/>
        <v>493.65999999999997</v>
      </c>
      <c r="G20" s="39">
        <f t="shared" si="1"/>
        <v>953.47</v>
      </c>
      <c r="H20" s="39">
        <f t="shared" si="1"/>
        <v>1003.5200000000001</v>
      </c>
      <c r="I20" s="39">
        <f t="shared" si="1"/>
        <v>1091.8499999999999</v>
      </c>
      <c r="J20" s="39">
        <f t="shared" si="1"/>
        <v>956.73</v>
      </c>
      <c r="K20" s="39">
        <f t="shared" si="1"/>
        <v>850.55</v>
      </c>
      <c r="L20" s="39">
        <f t="shared" si="1"/>
        <v>681.44</v>
      </c>
      <c r="M20" s="39">
        <f t="shared" si="1"/>
        <v>1358.96</v>
      </c>
      <c r="N20" s="39">
        <f t="shared" si="1"/>
        <v>2476.83</v>
      </c>
      <c r="O20" s="39">
        <f t="shared" si="1"/>
        <v>3089.95</v>
      </c>
      <c r="P20" s="39">
        <f t="shared" si="1"/>
        <v>1837.8400000000001</v>
      </c>
      <c r="Q20" s="39">
        <f t="shared" si="1"/>
        <v>454.44</v>
      </c>
      <c r="R20" s="39">
        <f t="shared" si="1"/>
        <v>2244.1799999999998</v>
      </c>
      <c r="S20" s="39">
        <f t="shared" si="1"/>
        <v>1439.97</v>
      </c>
      <c r="T20" s="39">
        <f t="shared" si="1"/>
        <v>1214.8300000000002</v>
      </c>
      <c r="U20" s="39">
        <f t="shared" si="1"/>
        <v>789.55</v>
      </c>
      <c r="V20" s="39">
        <f t="shared" si="1"/>
        <v>2280.58</v>
      </c>
      <c r="W20" s="39">
        <f t="shared" si="1"/>
        <v>1318.92</v>
      </c>
      <c r="X20" s="39">
        <f t="shared" si="1"/>
        <v>865.45</v>
      </c>
      <c r="Y20" s="39">
        <f t="shared" si="1"/>
        <v>1029.9100000000001</v>
      </c>
      <c r="Z20" s="139">
        <f>Z11+Z18</f>
        <v>1110865.5499999998</v>
      </c>
      <c r="AA20" s="143">
        <f>AA11+AA18</f>
        <v>25403.110000000004</v>
      </c>
      <c r="AB20" s="136">
        <f t="shared" si="1"/>
        <v>1136268.6600000001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B18/(100%+B$27)</f>
        <v>737.15837104072409</v>
      </c>
      <c r="C28" s="56">
        <f t="shared" ref="C28:Y28" si="2">C18/(100%+C$27)</f>
        <v>3741.1312217194577</v>
      </c>
      <c r="D28" s="56">
        <f t="shared" si="2"/>
        <v>1107.6462585034014</v>
      </c>
      <c r="E28" s="56">
        <f t="shared" si="2"/>
        <v>1479.7013574660634</v>
      </c>
      <c r="F28" s="56">
        <f t="shared" si="2"/>
        <v>458.15313225058009</v>
      </c>
      <c r="G28" s="56">
        <f t="shared" si="2"/>
        <v>884.89095127610221</v>
      </c>
      <c r="H28" s="56">
        <f t="shared" si="2"/>
        <v>931.34106728538302</v>
      </c>
      <c r="I28" s="56">
        <f t="shared" si="2"/>
        <v>1013.3178654292343</v>
      </c>
      <c r="J28" s="56">
        <f t="shared" si="2"/>
        <v>865.81900452488696</v>
      </c>
      <c r="K28" s="56">
        <f t="shared" si="2"/>
        <v>771.47392290249422</v>
      </c>
      <c r="L28" s="56">
        <f t="shared" si="2"/>
        <v>620.90205011389526</v>
      </c>
      <c r="M28" s="56">
        <f t="shared" si="2"/>
        <v>1238.2323462414579</v>
      </c>
      <c r="N28" s="56">
        <f t="shared" si="2"/>
        <v>2256.7927107061505</v>
      </c>
      <c r="O28" s="56">
        <f t="shared" si="2"/>
        <v>2828.3295194508005</v>
      </c>
      <c r="P28" s="56">
        <f t="shared" si="2"/>
        <v>1663.2036199095023</v>
      </c>
      <c r="Q28" s="56">
        <f t="shared" si="2"/>
        <v>417.87586206896555</v>
      </c>
      <c r="R28" s="56">
        <f t="shared" si="2"/>
        <v>2044.8109339407745</v>
      </c>
      <c r="S28" s="56">
        <f t="shared" si="2"/>
        <v>1300.1986455981942</v>
      </c>
      <c r="T28" s="56">
        <f t="shared" si="2"/>
        <v>1099.3936651583713</v>
      </c>
      <c r="U28" s="56">
        <f t="shared" si="2"/>
        <v>714.52488687782807</v>
      </c>
      <c r="V28" s="56">
        <f t="shared" si="2"/>
        <v>2068.5532879818593</v>
      </c>
      <c r="W28" s="56">
        <f t="shared" si="2"/>
        <v>1224.0556844547566</v>
      </c>
      <c r="X28" s="56">
        <f t="shared" si="2"/>
        <v>788.56492027334866</v>
      </c>
      <c r="Y28" s="56">
        <f t="shared" si="2"/>
        <v>947.04367816091974</v>
      </c>
      <c r="Z28" s="127">
        <f>SUM(B28:Y28)</f>
        <v>31203.114963335152</v>
      </c>
      <c r="AA28" s="128">
        <f>AA18/1.0838</f>
        <v>802.78649197268862</v>
      </c>
      <c r="AB28" s="100">
        <f>Z28+AA28</f>
        <v>32005.901455307841</v>
      </c>
    </row>
    <row r="29" spans="1:28" ht="18" customHeight="1" thickBot="1" x14ac:dyDescent="0.3">
      <c r="A29" s="52" t="s">
        <v>63</v>
      </c>
      <c r="B29" s="56">
        <f>B18-B28</f>
        <v>77.401628959275968</v>
      </c>
      <c r="C29" s="56">
        <f t="shared" ref="C29:Y29" si="3">C18-C28</f>
        <v>392.81877828054303</v>
      </c>
      <c r="D29" s="56">
        <f t="shared" si="3"/>
        <v>113.53374149659862</v>
      </c>
      <c r="E29" s="56">
        <f t="shared" si="3"/>
        <v>155.36864253393674</v>
      </c>
      <c r="F29" s="56">
        <f t="shared" si="3"/>
        <v>35.506867749419882</v>
      </c>
      <c r="G29" s="56">
        <f t="shared" si="3"/>
        <v>68.579048723897813</v>
      </c>
      <c r="H29" s="56">
        <f t="shared" si="3"/>
        <v>72.178932714617076</v>
      </c>
      <c r="I29" s="56">
        <f t="shared" si="3"/>
        <v>78.532134570765606</v>
      </c>
      <c r="J29" s="56">
        <f t="shared" si="3"/>
        <v>90.910995475113054</v>
      </c>
      <c r="K29" s="56">
        <f t="shared" si="3"/>
        <v>79.076077097505731</v>
      </c>
      <c r="L29" s="56">
        <f t="shared" si="3"/>
        <v>60.537949886104798</v>
      </c>
      <c r="M29" s="56">
        <f t="shared" si="3"/>
        <v>120.72765375854215</v>
      </c>
      <c r="N29" s="56">
        <f t="shared" si="3"/>
        <v>220.03728929384943</v>
      </c>
      <c r="O29" s="56">
        <f t="shared" si="3"/>
        <v>261.62048054919933</v>
      </c>
      <c r="P29" s="56">
        <f t="shared" si="3"/>
        <v>174.63638009049782</v>
      </c>
      <c r="Q29" s="56">
        <f t="shared" si="3"/>
        <v>36.564137931034452</v>
      </c>
      <c r="R29" s="56">
        <f t="shared" si="3"/>
        <v>199.36906605922536</v>
      </c>
      <c r="S29" s="56">
        <f t="shared" si="3"/>
        <v>139.77135440180587</v>
      </c>
      <c r="T29" s="56">
        <f t="shared" si="3"/>
        <v>115.43633484162888</v>
      </c>
      <c r="U29" s="56">
        <f t="shared" si="3"/>
        <v>75.025113122171888</v>
      </c>
      <c r="V29" s="56">
        <f t="shared" si="3"/>
        <v>212.02671201814064</v>
      </c>
      <c r="W29" s="56">
        <f t="shared" si="3"/>
        <v>94.864315545243471</v>
      </c>
      <c r="X29" s="56">
        <f t="shared" si="3"/>
        <v>76.885079726651384</v>
      </c>
      <c r="Y29" s="56">
        <f t="shared" si="3"/>
        <v>82.866321839080342</v>
      </c>
      <c r="Z29" s="135">
        <f>SUM(B29:Y29)</f>
        <v>3034.2750366648497</v>
      </c>
      <c r="AA29" s="144">
        <f>AA18-AA28</f>
        <v>67.273508027311436</v>
      </c>
      <c r="AB29" s="100">
        <f>Z29+AA29</f>
        <v>3101.5485446921612</v>
      </c>
    </row>
    <row r="30" spans="1:28" ht="18" customHeight="1" thickBot="1" x14ac:dyDescent="0.3">
      <c r="A30" s="49"/>
      <c r="B30" s="129">
        <f>B28+B29</f>
        <v>814.56000000000006</v>
      </c>
      <c r="C30" s="129">
        <f t="shared" ref="C30:AA30" si="4">C28+C29</f>
        <v>4133.9500000000007</v>
      </c>
      <c r="D30" s="129">
        <f t="shared" si="4"/>
        <v>1221.18</v>
      </c>
      <c r="E30" s="129">
        <f t="shared" si="4"/>
        <v>1635.0700000000002</v>
      </c>
      <c r="F30" s="129">
        <f t="shared" si="4"/>
        <v>493.65999999999997</v>
      </c>
      <c r="G30" s="129">
        <f t="shared" si="4"/>
        <v>953.47</v>
      </c>
      <c r="H30" s="129">
        <f t="shared" si="4"/>
        <v>1003.5200000000001</v>
      </c>
      <c r="I30" s="129">
        <f t="shared" si="4"/>
        <v>1091.8499999999999</v>
      </c>
      <c r="J30" s="129">
        <f t="shared" si="4"/>
        <v>956.73</v>
      </c>
      <c r="K30" s="129">
        <f t="shared" si="4"/>
        <v>850.55</v>
      </c>
      <c r="L30" s="129">
        <f t="shared" si="4"/>
        <v>681.44</v>
      </c>
      <c r="M30" s="129">
        <f t="shared" si="4"/>
        <v>1358.96</v>
      </c>
      <c r="N30" s="129">
        <f t="shared" si="4"/>
        <v>2476.83</v>
      </c>
      <c r="O30" s="129">
        <f t="shared" si="4"/>
        <v>3089.95</v>
      </c>
      <c r="P30" s="129">
        <f t="shared" si="4"/>
        <v>1837.8400000000001</v>
      </c>
      <c r="Q30" s="129">
        <f t="shared" si="4"/>
        <v>454.44</v>
      </c>
      <c r="R30" s="129">
        <f t="shared" si="4"/>
        <v>2244.1799999999998</v>
      </c>
      <c r="S30" s="129">
        <f t="shared" si="4"/>
        <v>1439.97</v>
      </c>
      <c r="T30" s="129">
        <f t="shared" si="4"/>
        <v>1214.8300000000002</v>
      </c>
      <c r="U30" s="129">
        <f t="shared" si="4"/>
        <v>789.55</v>
      </c>
      <c r="V30" s="129">
        <f t="shared" si="4"/>
        <v>2280.58</v>
      </c>
      <c r="W30" s="129">
        <f t="shared" si="4"/>
        <v>1318.92</v>
      </c>
      <c r="X30" s="129">
        <f t="shared" si="4"/>
        <v>865.45</v>
      </c>
      <c r="Y30" s="129">
        <f t="shared" si="4"/>
        <v>1029.9100000000001</v>
      </c>
      <c r="Z30" s="130">
        <f>Z28+Z29</f>
        <v>34237.39</v>
      </c>
      <c r="AA30" s="131">
        <f t="shared" si="4"/>
        <v>870.06000000000006</v>
      </c>
      <c r="AB30" s="132">
        <f>SUM(AB28:AB29)</f>
        <v>35107.450000000004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1133167.111455308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1224.0556844547566</v>
      </c>
      <c r="C38" s="71">
        <f>X28</f>
        <v>788.56492027334866</v>
      </c>
      <c r="D38" s="72">
        <f>Q28</f>
        <v>417.87586206896555</v>
      </c>
      <c r="E38" s="72">
        <f>S28</f>
        <v>1300.1986455981942</v>
      </c>
      <c r="F38" s="72">
        <f>L28+M28+N28+R28+X28</f>
        <v>6949.3029612756263</v>
      </c>
      <c r="G38" s="72">
        <f>P28</f>
        <v>1663.2036199095023</v>
      </c>
      <c r="H38" s="72">
        <f>T28</f>
        <v>1099.3936651583713</v>
      </c>
      <c r="I38" s="72">
        <f>V28</f>
        <v>2068.5532879818593</v>
      </c>
      <c r="J38" s="72">
        <f>C28</f>
        <v>3741.1312217194577</v>
      </c>
      <c r="K38" s="72">
        <f>O28</f>
        <v>2828.3295194508005</v>
      </c>
      <c r="L38" s="72">
        <f>J28</f>
        <v>865.81900452488696</v>
      </c>
      <c r="M38" s="72">
        <f>B28+E28</f>
        <v>2216.8597285067876</v>
      </c>
      <c r="N38" s="72">
        <f>U28</f>
        <v>714.52488687782807</v>
      </c>
      <c r="O38" s="73">
        <f>D28+K28</f>
        <v>1879.1201814058957</v>
      </c>
      <c r="P38" s="72">
        <f>Y28</f>
        <v>947.04367816091974</v>
      </c>
      <c r="Q38" s="118">
        <f>SUM(B38:P38)</f>
        <v>28703.976867367201</v>
      </c>
      <c r="R38" s="42">
        <f>AA28</f>
        <v>802.78649197268862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94.864315545243642</v>
      </c>
      <c r="C40" s="80">
        <f t="shared" ref="C40:P40" si="5">C38*C39</f>
        <v>61.113781321184518</v>
      </c>
      <c r="D40" s="80">
        <f t="shared" si="5"/>
        <v>36.56413793103448</v>
      </c>
      <c r="E40" s="80">
        <f t="shared" si="5"/>
        <v>139.77135440180587</v>
      </c>
      <c r="F40" s="80">
        <f t="shared" si="5"/>
        <v>677.55703872437357</v>
      </c>
      <c r="G40" s="80">
        <f t="shared" si="5"/>
        <v>174.63638009049774</v>
      </c>
      <c r="H40" s="80">
        <f t="shared" si="5"/>
        <v>115.43633484162898</v>
      </c>
      <c r="I40" s="80">
        <f t="shared" si="5"/>
        <v>212.02671201814056</v>
      </c>
      <c r="J40" s="80">
        <f t="shared" si="5"/>
        <v>392.81877828054303</v>
      </c>
      <c r="K40" s="80">
        <f t="shared" si="5"/>
        <v>261.62048054919904</v>
      </c>
      <c r="L40" s="80">
        <f t="shared" si="5"/>
        <v>90.910995475113126</v>
      </c>
      <c r="M40" s="80">
        <f t="shared" si="5"/>
        <v>232.7702714932127</v>
      </c>
      <c r="N40" s="80">
        <f t="shared" si="5"/>
        <v>75.025113122171945</v>
      </c>
      <c r="O40" s="81">
        <f t="shared" si="5"/>
        <v>192.6098185941043</v>
      </c>
      <c r="P40" s="80">
        <f t="shared" si="5"/>
        <v>82.86632183908047</v>
      </c>
      <c r="Q40" s="138">
        <f>SUM(B40:P40)</f>
        <v>2840.5918342273344</v>
      </c>
      <c r="R40" s="137">
        <f>R38*R39</f>
        <v>67.273508027311308</v>
      </c>
    </row>
    <row r="41" spans="1:28" ht="18" customHeight="1" thickBot="1" x14ac:dyDescent="0.3">
      <c r="A41" s="49" t="s">
        <v>4</v>
      </c>
      <c r="B41" s="82">
        <f>B38+B40</f>
        <v>1318.9200000000003</v>
      </c>
      <c r="C41" s="83">
        <f t="shared" ref="C41:R41" si="6">C38+C40</f>
        <v>849.67870159453321</v>
      </c>
      <c r="D41" s="83">
        <f t="shared" si="6"/>
        <v>454.44000000000005</v>
      </c>
      <c r="E41" s="83">
        <f t="shared" si="6"/>
        <v>1439.97</v>
      </c>
      <c r="F41" s="83">
        <f t="shared" si="6"/>
        <v>7626.86</v>
      </c>
      <c r="G41" s="83">
        <f t="shared" si="6"/>
        <v>1837.8400000000001</v>
      </c>
      <c r="H41" s="83">
        <f t="shared" si="6"/>
        <v>1214.8300000000002</v>
      </c>
      <c r="I41" s="83">
        <f t="shared" si="6"/>
        <v>2280.58</v>
      </c>
      <c r="J41" s="83">
        <f t="shared" si="6"/>
        <v>4133.9500000000007</v>
      </c>
      <c r="K41" s="83">
        <f t="shared" si="6"/>
        <v>3089.9499999999994</v>
      </c>
      <c r="L41" s="83">
        <f t="shared" si="6"/>
        <v>956.73000000000013</v>
      </c>
      <c r="M41" s="83">
        <f t="shared" si="6"/>
        <v>2449.63</v>
      </c>
      <c r="N41" s="83">
        <f t="shared" si="6"/>
        <v>789.55</v>
      </c>
      <c r="O41" s="84">
        <f t="shared" si="6"/>
        <v>2071.73</v>
      </c>
      <c r="P41" s="83">
        <f t="shared" si="6"/>
        <v>1029.9100000000003</v>
      </c>
      <c r="Q41" s="120">
        <f>SUM(B41:P41)</f>
        <v>31544.568701594533</v>
      </c>
      <c r="R41" s="85">
        <f t="shared" si="6"/>
        <v>870.06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5BFC-CDCE-471F-B343-1BDCC582671B}">
  <sheetPr>
    <tabColor theme="1"/>
    <pageSetUpPr fitToPage="1"/>
  </sheetPr>
  <dimension ref="A1:AB41"/>
  <sheetViews>
    <sheetView zoomScale="90" zoomScaleNormal="90" workbookViewId="0">
      <selection activeCell="B28" sqref="B28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101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206.43</v>
      </c>
      <c r="C7" s="36">
        <v>72925.11</v>
      </c>
      <c r="D7" s="36">
        <v>55480.73</v>
      </c>
      <c r="E7" s="36">
        <v>58626.17</v>
      </c>
      <c r="F7" s="36">
        <v>48149.01</v>
      </c>
      <c r="G7" s="36">
        <v>26266.47</v>
      </c>
      <c r="H7" s="36">
        <v>44777.83</v>
      </c>
      <c r="I7" s="36">
        <v>27871.98</v>
      </c>
      <c r="J7" s="36">
        <v>50023.4</v>
      </c>
      <c r="K7" s="36">
        <v>24044.69</v>
      </c>
      <c r="L7" s="36">
        <v>28037.23</v>
      </c>
      <c r="M7" s="36">
        <v>50911.519999999997</v>
      </c>
      <c r="N7" s="36">
        <v>83579.320000000007</v>
      </c>
      <c r="O7" s="36">
        <v>45346.27</v>
      </c>
      <c r="P7" s="36">
        <v>62499.839999999997</v>
      </c>
      <c r="Q7" s="36">
        <v>35608.76</v>
      </c>
      <c r="R7" s="36">
        <v>55564.95</v>
      </c>
      <c r="S7" s="36">
        <v>52724.76</v>
      </c>
      <c r="T7" s="36">
        <v>36918.730000000003</v>
      </c>
      <c r="U7" s="36">
        <v>38538.83</v>
      </c>
      <c r="V7" s="36">
        <v>56850.47</v>
      </c>
      <c r="W7" s="36">
        <v>50537.81</v>
      </c>
      <c r="X7" s="36">
        <v>37757.279999999999</v>
      </c>
      <c r="Y7" s="36">
        <v>26960.04</v>
      </c>
      <c r="Z7" s="101">
        <f>SUM(B7:Y7)</f>
        <v>1070207.6299999999</v>
      </c>
      <c r="AA7" s="109">
        <v>27776.720000000001</v>
      </c>
      <c r="AB7" s="93">
        <f>Z7+AA7</f>
        <v>1097984.3499999999</v>
      </c>
    </row>
    <row r="8" spans="1:28" ht="17.25" customHeight="1" x14ac:dyDescent="0.25">
      <c r="A8" s="35" t="s">
        <v>6</v>
      </c>
      <c r="B8" s="36">
        <v>0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101">
        <f>SUM(B8:Y8)</f>
        <v>0</v>
      </c>
      <c r="AA8" s="109">
        <v>0</v>
      </c>
      <c r="AB8" s="93">
        <f>Z8+AA8</f>
        <v>0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75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101">
        <f>SUM(B9:Y9)</f>
        <v>75</v>
      </c>
      <c r="AA9" s="109">
        <v>0</v>
      </c>
      <c r="AB9" s="93">
        <f>Z9+AA9</f>
        <v>75</v>
      </c>
    </row>
    <row r="10" spans="1:28" ht="18" customHeight="1" thickBot="1" x14ac:dyDescent="0.3">
      <c r="A10" s="35" t="s">
        <v>7</v>
      </c>
      <c r="B10" s="36">
        <v>0</v>
      </c>
      <c r="C10" s="36">
        <v>0.28000000000000003</v>
      </c>
      <c r="D10" s="36">
        <v>0.19</v>
      </c>
      <c r="E10" s="36">
        <v>0.14000000000000001</v>
      </c>
      <c r="F10" s="36">
        <v>0.18</v>
      </c>
      <c r="G10" s="36">
        <v>0.12</v>
      </c>
      <c r="H10" s="36">
        <v>0.11</v>
      </c>
      <c r="I10" s="36">
        <v>0.15</v>
      </c>
      <c r="J10" s="36">
        <v>0.11</v>
      </c>
      <c r="K10" s="36">
        <v>0.11</v>
      </c>
      <c r="L10" s="36">
        <v>0.13</v>
      </c>
      <c r="M10" s="36">
        <v>75.180000000000007</v>
      </c>
      <c r="N10" s="36">
        <v>0.3</v>
      </c>
      <c r="O10" s="36">
        <v>0.15</v>
      </c>
      <c r="P10" s="36">
        <v>0.21</v>
      </c>
      <c r="Q10" s="36">
        <v>0.16</v>
      </c>
      <c r="R10" s="36">
        <v>0.49</v>
      </c>
      <c r="S10" s="36">
        <v>0.14000000000000001</v>
      </c>
      <c r="T10" s="36">
        <v>0.15</v>
      </c>
      <c r="U10" s="36">
        <v>150.12</v>
      </c>
      <c r="V10" s="36">
        <v>0.24</v>
      </c>
      <c r="W10" s="36">
        <v>0.13</v>
      </c>
      <c r="X10" s="36">
        <v>0.12</v>
      </c>
      <c r="Y10" s="36">
        <v>0.11</v>
      </c>
      <c r="Z10" s="101">
        <f>SUM(B10:Y10)</f>
        <v>229.02000000000004</v>
      </c>
      <c r="AA10" s="109">
        <v>0.1</v>
      </c>
      <c r="AB10" s="93">
        <f>Z10+AA10</f>
        <v>229.12000000000003</v>
      </c>
    </row>
    <row r="11" spans="1:28" ht="18" customHeight="1" thickBot="1" x14ac:dyDescent="0.3">
      <c r="A11" s="49" t="s">
        <v>19</v>
      </c>
      <c r="B11" s="89">
        <v>0</v>
      </c>
      <c r="C11" s="89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140">
        <f>SUM(Z7:Z10)</f>
        <v>1070511.6499999999</v>
      </c>
      <c r="AA11" s="141">
        <f>SUM(AA7:AA10)</f>
        <v>27776.82</v>
      </c>
      <c r="AB11" s="142">
        <f>SUM(AB7:AB10)</f>
        <v>1098288.47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0</v>
      </c>
      <c r="C14" s="36">
        <v>77.37</v>
      </c>
      <c r="D14" s="36">
        <v>0</v>
      </c>
      <c r="E14" s="36">
        <v>77.37</v>
      </c>
      <c r="F14" s="36">
        <v>150.9</v>
      </c>
      <c r="G14" s="36">
        <v>0</v>
      </c>
      <c r="H14" s="36">
        <v>0</v>
      </c>
      <c r="I14" s="36">
        <v>0</v>
      </c>
      <c r="J14" s="36">
        <v>0</v>
      </c>
      <c r="K14" s="36">
        <v>77.2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77.37</v>
      </c>
      <c r="V14" s="36">
        <v>0</v>
      </c>
      <c r="W14" s="36">
        <v>0</v>
      </c>
      <c r="X14" s="36">
        <v>0</v>
      </c>
      <c r="Y14" s="36">
        <v>0</v>
      </c>
      <c r="Z14" s="101">
        <f>SUM(B14:Y14)</f>
        <v>460.21</v>
      </c>
      <c r="AA14" s="109">
        <v>0</v>
      </c>
      <c r="AB14" s="93">
        <f>Z14+AA14</f>
        <v>460.21</v>
      </c>
    </row>
    <row r="15" spans="1:28" ht="18" customHeight="1" x14ac:dyDescent="0.25">
      <c r="A15" s="35" t="s">
        <v>8</v>
      </c>
      <c r="B15" s="36">
        <v>115.12</v>
      </c>
      <c r="C15" s="36">
        <v>1116.93</v>
      </c>
      <c r="D15" s="36">
        <v>882.67</v>
      </c>
      <c r="E15" s="36">
        <v>1147.33</v>
      </c>
      <c r="F15" s="36">
        <v>576.66999999999996</v>
      </c>
      <c r="G15" s="36">
        <v>497.79</v>
      </c>
      <c r="H15" s="36">
        <v>917.02</v>
      </c>
      <c r="I15" s="36">
        <v>321.89</v>
      </c>
      <c r="J15" s="36">
        <v>911.06</v>
      </c>
      <c r="K15" s="36">
        <v>312.13</v>
      </c>
      <c r="L15" s="36">
        <v>304.37</v>
      </c>
      <c r="M15" s="36">
        <v>705.5</v>
      </c>
      <c r="N15" s="36">
        <v>1594.43</v>
      </c>
      <c r="O15" s="36">
        <v>1675.75</v>
      </c>
      <c r="P15" s="36">
        <v>2948.45</v>
      </c>
      <c r="Q15" s="36">
        <v>1020.69</v>
      </c>
      <c r="R15" s="36">
        <v>1264.4000000000001</v>
      </c>
      <c r="S15" s="36">
        <v>411.55</v>
      </c>
      <c r="T15" s="36">
        <v>659.33</v>
      </c>
      <c r="U15" s="36">
        <v>1213.26</v>
      </c>
      <c r="V15" s="36">
        <v>571.79999999999995</v>
      </c>
      <c r="W15" s="36">
        <v>567.63</v>
      </c>
      <c r="X15" s="36">
        <v>253.6</v>
      </c>
      <c r="Y15" s="36">
        <v>782.24</v>
      </c>
      <c r="Z15" s="101">
        <f>SUM(B15:Y15)</f>
        <v>20771.61</v>
      </c>
      <c r="AA15" s="109">
        <v>736.95</v>
      </c>
      <c r="AB15" s="93">
        <f>Z15+AA15</f>
        <v>21508.560000000001</v>
      </c>
    </row>
    <row r="16" spans="1:28" ht="18" customHeight="1" x14ac:dyDescent="0.25">
      <c r="A16" s="35" t="s">
        <v>13</v>
      </c>
      <c r="B16" s="36">
        <v>0</v>
      </c>
      <c r="C16" s="36">
        <v>0</v>
      </c>
      <c r="D16" s="36">
        <v>127.67</v>
      </c>
      <c r="E16" s="36">
        <v>281.51</v>
      </c>
      <c r="F16" s="36">
        <v>219.22</v>
      </c>
      <c r="G16" s="36">
        <v>0</v>
      </c>
      <c r="H16" s="36">
        <v>109.69</v>
      </c>
      <c r="I16" s="36">
        <v>0</v>
      </c>
      <c r="J16" s="36">
        <v>127.96</v>
      </c>
      <c r="K16" s="36">
        <v>33.67</v>
      </c>
      <c r="L16" s="36">
        <v>73.53</v>
      </c>
      <c r="M16" s="36">
        <v>0</v>
      </c>
      <c r="N16" s="36">
        <v>143.97</v>
      </c>
      <c r="O16" s="36">
        <v>45.16</v>
      </c>
      <c r="P16" s="36">
        <v>0</v>
      </c>
      <c r="Q16" s="36">
        <v>132.85</v>
      </c>
      <c r="R16" s="36">
        <v>0</v>
      </c>
      <c r="S16" s="36">
        <v>97.08</v>
      </c>
      <c r="T16" s="36">
        <v>0</v>
      </c>
      <c r="U16" s="36">
        <v>38.39</v>
      </c>
      <c r="V16" s="36">
        <v>30.07</v>
      </c>
      <c r="W16" s="36">
        <v>0</v>
      </c>
      <c r="X16" s="36">
        <v>55.86</v>
      </c>
      <c r="Y16" s="36">
        <v>0</v>
      </c>
      <c r="Z16" s="101">
        <f>SUM(B16:Y16)</f>
        <v>1516.6299999999997</v>
      </c>
      <c r="AA16" s="109">
        <v>209.71</v>
      </c>
      <c r="AB16" s="93">
        <f>Z16+AA16</f>
        <v>1726.3399999999997</v>
      </c>
    </row>
    <row r="17" spans="1:28" ht="18" customHeight="1" thickBot="1" x14ac:dyDescent="0.3">
      <c r="A17" s="35" t="s">
        <v>22</v>
      </c>
      <c r="B17" s="36">
        <v>0</v>
      </c>
      <c r="C17" s="36">
        <v>148.88999999999999</v>
      </c>
      <c r="D17" s="36">
        <v>245.3</v>
      </c>
      <c r="E17" s="36">
        <v>335.97</v>
      </c>
      <c r="F17" s="36">
        <v>191.57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223.33</v>
      </c>
      <c r="O17" s="36">
        <v>162.69999999999999</v>
      </c>
      <c r="P17" s="36">
        <v>342.82</v>
      </c>
      <c r="Q17" s="36">
        <v>0</v>
      </c>
      <c r="R17" s="36">
        <v>447.33</v>
      </c>
      <c r="S17" s="36">
        <v>74.61</v>
      </c>
      <c r="T17" s="36">
        <v>0</v>
      </c>
      <c r="U17" s="36">
        <v>0</v>
      </c>
      <c r="V17" s="36">
        <v>0</v>
      </c>
      <c r="W17" s="36">
        <v>160.46</v>
      </c>
      <c r="X17" s="36">
        <v>333.68</v>
      </c>
      <c r="Y17" s="36">
        <v>168.69</v>
      </c>
      <c r="Z17" s="101">
        <f>SUM(B17:Y17)</f>
        <v>2835.35</v>
      </c>
      <c r="AA17" s="109">
        <v>0</v>
      </c>
      <c r="AB17" s="93">
        <f>Z17+AA17</f>
        <v>2835.35</v>
      </c>
    </row>
    <row r="18" spans="1:28" ht="18" customHeight="1" thickBot="1" x14ac:dyDescent="0.3">
      <c r="A18" s="85" t="s">
        <v>20</v>
      </c>
      <c r="B18" s="89">
        <f>SUM(B14:B17)</f>
        <v>115.12</v>
      </c>
      <c r="C18" s="89">
        <f t="shared" ref="C18:AB18" si="0">SUM(C14:C17)</f>
        <v>1343.19</v>
      </c>
      <c r="D18" s="89">
        <f t="shared" si="0"/>
        <v>1255.6399999999999</v>
      </c>
      <c r="E18" s="89">
        <f t="shared" si="0"/>
        <v>1842.1799999999998</v>
      </c>
      <c r="F18" s="89">
        <f t="shared" si="0"/>
        <v>1138.3599999999999</v>
      </c>
      <c r="G18" s="89">
        <f t="shared" si="0"/>
        <v>497.79</v>
      </c>
      <c r="H18" s="89">
        <f t="shared" si="0"/>
        <v>1026.71</v>
      </c>
      <c r="I18" s="89">
        <f t="shared" si="0"/>
        <v>321.89</v>
      </c>
      <c r="J18" s="89">
        <f t="shared" si="0"/>
        <v>1039.02</v>
      </c>
      <c r="K18" s="89">
        <f t="shared" si="0"/>
        <v>423</v>
      </c>
      <c r="L18" s="89">
        <f t="shared" si="0"/>
        <v>377.9</v>
      </c>
      <c r="M18" s="89">
        <f t="shared" si="0"/>
        <v>705.5</v>
      </c>
      <c r="N18" s="89">
        <f t="shared" si="0"/>
        <v>1961.73</v>
      </c>
      <c r="O18" s="89">
        <f t="shared" si="0"/>
        <v>1883.6100000000001</v>
      </c>
      <c r="P18" s="89">
        <f t="shared" si="0"/>
        <v>3291.27</v>
      </c>
      <c r="Q18" s="89">
        <f t="shared" si="0"/>
        <v>1153.54</v>
      </c>
      <c r="R18" s="89">
        <f t="shared" si="0"/>
        <v>1711.73</v>
      </c>
      <c r="S18" s="89">
        <f t="shared" si="0"/>
        <v>583.24</v>
      </c>
      <c r="T18" s="89">
        <f t="shared" si="0"/>
        <v>659.33</v>
      </c>
      <c r="U18" s="89">
        <f t="shared" si="0"/>
        <v>1329.0200000000002</v>
      </c>
      <c r="V18" s="89">
        <f t="shared" si="0"/>
        <v>601.87</v>
      </c>
      <c r="W18" s="89">
        <f t="shared" si="0"/>
        <v>728.09</v>
      </c>
      <c r="X18" s="89">
        <f t="shared" si="0"/>
        <v>643.14</v>
      </c>
      <c r="Y18" s="89">
        <f t="shared" si="0"/>
        <v>950.93000000000006</v>
      </c>
      <c r="Z18" s="102">
        <f>SUM(Z14:Z17)</f>
        <v>25583.8</v>
      </c>
      <c r="AA18" s="102">
        <f>SUM(AA14:AA17)</f>
        <v>946.66000000000008</v>
      </c>
      <c r="AB18" s="94">
        <f t="shared" si="0"/>
        <v>26530.46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115.12</v>
      </c>
      <c r="C20" s="39">
        <f t="shared" ref="C20:AB20" si="1">SUM(C11,C18)</f>
        <v>1343.19</v>
      </c>
      <c r="D20" s="39">
        <f t="shared" si="1"/>
        <v>1255.6399999999999</v>
      </c>
      <c r="E20" s="39">
        <f t="shared" si="1"/>
        <v>1842.1799999999998</v>
      </c>
      <c r="F20" s="39">
        <f t="shared" si="1"/>
        <v>1138.3599999999999</v>
      </c>
      <c r="G20" s="39">
        <f t="shared" si="1"/>
        <v>497.79</v>
      </c>
      <c r="H20" s="39">
        <f t="shared" si="1"/>
        <v>1026.71</v>
      </c>
      <c r="I20" s="39">
        <f t="shared" si="1"/>
        <v>321.89</v>
      </c>
      <c r="J20" s="39">
        <f t="shared" si="1"/>
        <v>1039.02</v>
      </c>
      <c r="K20" s="39">
        <f t="shared" si="1"/>
        <v>423</v>
      </c>
      <c r="L20" s="39">
        <f t="shared" si="1"/>
        <v>377.9</v>
      </c>
      <c r="M20" s="39">
        <f t="shared" si="1"/>
        <v>705.5</v>
      </c>
      <c r="N20" s="39">
        <f t="shared" si="1"/>
        <v>1961.73</v>
      </c>
      <c r="O20" s="39">
        <f t="shared" si="1"/>
        <v>1883.6100000000001</v>
      </c>
      <c r="P20" s="39">
        <f t="shared" si="1"/>
        <v>3291.27</v>
      </c>
      <c r="Q20" s="39">
        <f t="shared" si="1"/>
        <v>1153.54</v>
      </c>
      <c r="R20" s="39">
        <f t="shared" si="1"/>
        <v>1711.73</v>
      </c>
      <c r="S20" s="39">
        <f t="shared" si="1"/>
        <v>583.24</v>
      </c>
      <c r="T20" s="39">
        <f t="shared" si="1"/>
        <v>659.33</v>
      </c>
      <c r="U20" s="39">
        <f t="shared" si="1"/>
        <v>1329.0200000000002</v>
      </c>
      <c r="V20" s="39">
        <f t="shared" si="1"/>
        <v>601.87</v>
      </c>
      <c r="W20" s="39">
        <f t="shared" si="1"/>
        <v>728.09</v>
      </c>
      <c r="X20" s="39">
        <f t="shared" si="1"/>
        <v>643.14</v>
      </c>
      <c r="Y20" s="39">
        <f t="shared" si="1"/>
        <v>950.93000000000006</v>
      </c>
      <c r="Z20" s="139">
        <f>Z11+Z18</f>
        <v>1096095.45</v>
      </c>
      <c r="AA20" s="143">
        <f>AA11+AA18</f>
        <v>28723.48</v>
      </c>
      <c r="AB20" s="136">
        <f t="shared" si="1"/>
        <v>1124818.93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B18/1.105</f>
        <v>104.18099547511312</v>
      </c>
      <c r="C28" s="56">
        <f>C18/1.105</f>
        <v>1215.5565610859728</v>
      </c>
      <c r="D28" s="56">
        <f>D18/1.1025</f>
        <v>1138.9024943310656</v>
      </c>
      <c r="E28" s="56">
        <f>E18/1.105</f>
        <v>1667.1312217194568</v>
      </c>
      <c r="F28" s="56">
        <f>F18/1.0775</f>
        <v>1056.4825986078886</v>
      </c>
      <c r="G28" s="56">
        <f>G18/1.0775</f>
        <v>461.98607888631096</v>
      </c>
      <c r="H28" s="56">
        <f>H18/1.0775</f>
        <v>952.86310904872403</v>
      </c>
      <c r="I28" s="56">
        <f>I18/1.0775</f>
        <v>298.73781902552207</v>
      </c>
      <c r="J28" s="56">
        <f>J18/1.105</f>
        <v>940.28959276018099</v>
      </c>
      <c r="K28" s="56">
        <f>K18/1.1025</f>
        <v>383.67346938775506</v>
      </c>
      <c r="L28" s="56">
        <f>L18/1.0975</f>
        <v>344.32801822323461</v>
      </c>
      <c r="M28" s="56">
        <f>M18/1.0975</f>
        <v>642.82460136674263</v>
      </c>
      <c r="N28" s="56">
        <f>N18/1.0975</f>
        <v>1787.4533029612758</v>
      </c>
      <c r="O28" s="56">
        <f>O18/1.0925</f>
        <v>1724.1281464530894</v>
      </c>
      <c r="P28" s="56">
        <f>P18/1.105</f>
        <v>2978.5248868778281</v>
      </c>
      <c r="Q28" s="56">
        <f>Q18/1.0875</f>
        <v>1060.7264367816092</v>
      </c>
      <c r="R28" s="56">
        <f>R18/1.0975</f>
        <v>1559.6628701594534</v>
      </c>
      <c r="S28" s="56">
        <f>S18/1.1075</f>
        <v>526.62753950338606</v>
      </c>
      <c r="T28" s="56">
        <f>T18/1.105</f>
        <v>596.67873303167426</v>
      </c>
      <c r="U28" s="56">
        <f>U18/1.105</f>
        <v>1202.7330316742084</v>
      </c>
      <c r="V28" s="56">
        <f>V18/1.1025</f>
        <v>545.9138321995465</v>
      </c>
      <c r="W28" s="56">
        <f>W18/1.0775</f>
        <v>675.72157772621824</v>
      </c>
      <c r="X28" s="56">
        <f>X18/1.0975</f>
        <v>586.00455580865605</v>
      </c>
      <c r="Y28" s="56">
        <f>Y18/1.0875</f>
        <v>874.41839080459783</v>
      </c>
      <c r="Z28" s="127">
        <f>SUM(B28:Y28)-0.54</f>
        <v>23325.0098638995</v>
      </c>
      <c r="AA28" s="128">
        <f>AA18/1.0838-0.02</f>
        <v>873.44373869717663</v>
      </c>
      <c r="AB28" s="100">
        <f>Z28+AA28</f>
        <v>24198.453602596677</v>
      </c>
    </row>
    <row r="29" spans="1:28" ht="18" customHeight="1" thickBot="1" x14ac:dyDescent="0.3">
      <c r="A29" s="52" t="s">
        <v>63</v>
      </c>
      <c r="B29" s="56">
        <f>B18-B28</f>
        <v>10.939004524886883</v>
      </c>
      <c r="C29" s="56">
        <f t="shared" ref="C29:Y29" si="2">C18-C28</f>
        <v>127.63343891402724</v>
      </c>
      <c r="D29" s="56">
        <f t="shared" si="2"/>
        <v>116.73750566893432</v>
      </c>
      <c r="E29" s="56">
        <f t="shared" si="2"/>
        <v>175.04877828054305</v>
      </c>
      <c r="F29" s="56">
        <f t="shared" si="2"/>
        <v>81.877401392111324</v>
      </c>
      <c r="G29" s="56">
        <f t="shared" si="2"/>
        <v>35.803921113689057</v>
      </c>
      <c r="H29" s="56">
        <f t="shared" si="2"/>
        <v>73.846890951276009</v>
      </c>
      <c r="I29" s="56">
        <f t="shared" si="2"/>
        <v>23.152180974477915</v>
      </c>
      <c r="J29" s="56">
        <f t="shared" si="2"/>
        <v>98.730407239818987</v>
      </c>
      <c r="K29" s="56">
        <f t="shared" si="2"/>
        <v>39.326530612244937</v>
      </c>
      <c r="L29" s="56">
        <f t="shared" si="2"/>
        <v>33.571981776765369</v>
      </c>
      <c r="M29" s="56">
        <f t="shared" si="2"/>
        <v>62.675398633257373</v>
      </c>
      <c r="N29" s="56">
        <f t="shared" si="2"/>
        <v>174.27669703872425</v>
      </c>
      <c r="O29" s="56">
        <f t="shared" si="2"/>
        <v>159.48185354691077</v>
      </c>
      <c r="P29" s="56">
        <f t="shared" si="2"/>
        <v>312.74511312217192</v>
      </c>
      <c r="Q29" s="56">
        <f t="shared" si="2"/>
        <v>92.813563218390755</v>
      </c>
      <c r="R29" s="56">
        <f t="shared" si="2"/>
        <v>152.06712984054661</v>
      </c>
      <c r="S29" s="56">
        <f t="shared" si="2"/>
        <v>56.612460496613949</v>
      </c>
      <c r="T29" s="56">
        <f t="shared" si="2"/>
        <v>62.651266968325785</v>
      </c>
      <c r="U29" s="56">
        <f t="shared" si="2"/>
        <v>126.2869683257918</v>
      </c>
      <c r="V29" s="56">
        <f t="shared" si="2"/>
        <v>55.9561678004535</v>
      </c>
      <c r="W29" s="56">
        <f t="shared" si="2"/>
        <v>52.368422273781789</v>
      </c>
      <c r="X29" s="56">
        <f t="shared" si="2"/>
        <v>57.135444191343936</v>
      </c>
      <c r="Y29" s="56">
        <f t="shared" si="2"/>
        <v>76.511609195402229</v>
      </c>
      <c r="Z29" s="135">
        <f>SUM(B29:Y29)+0.54</f>
        <v>2258.7901361004901</v>
      </c>
      <c r="AA29" s="144">
        <f>AA18-AA28</f>
        <v>73.216261302823455</v>
      </c>
      <c r="AB29" s="100">
        <f>Z29+AA29</f>
        <v>2332.0063974033137</v>
      </c>
    </row>
    <row r="30" spans="1:28" ht="18" customHeight="1" thickBot="1" x14ac:dyDescent="0.3">
      <c r="A30" s="49"/>
      <c r="B30" s="129">
        <f>B28+B29</f>
        <v>115.12</v>
      </c>
      <c r="C30" s="129">
        <f t="shared" ref="C30:AA30" si="3">C28+C29</f>
        <v>1343.19</v>
      </c>
      <c r="D30" s="129">
        <f t="shared" si="3"/>
        <v>1255.6399999999999</v>
      </c>
      <c r="E30" s="129">
        <f t="shared" si="3"/>
        <v>1842.1799999999998</v>
      </c>
      <c r="F30" s="129">
        <f t="shared" si="3"/>
        <v>1138.3599999999999</v>
      </c>
      <c r="G30" s="129">
        <f t="shared" si="3"/>
        <v>497.79</v>
      </c>
      <c r="H30" s="129">
        <f t="shared" si="3"/>
        <v>1026.71</v>
      </c>
      <c r="I30" s="129">
        <f t="shared" si="3"/>
        <v>321.89</v>
      </c>
      <c r="J30" s="129">
        <f t="shared" si="3"/>
        <v>1039.02</v>
      </c>
      <c r="K30" s="129">
        <f t="shared" si="3"/>
        <v>423</v>
      </c>
      <c r="L30" s="129">
        <f t="shared" si="3"/>
        <v>377.9</v>
      </c>
      <c r="M30" s="129">
        <f t="shared" si="3"/>
        <v>705.5</v>
      </c>
      <c r="N30" s="129">
        <f t="shared" si="3"/>
        <v>1961.73</v>
      </c>
      <c r="O30" s="129">
        <f t="shared" si="3"/>
        <v>1883.6100000000001</v>
      </c>
      <c r="P30" s="129">
        <f t="shared" si="3"/>
        <v>3291.27</v>
      </c>
      <c r="Q30" s="129">
        <f t="shared" si="3"/>
        <v>1153.54</v>
      </c>
      <c r="R30" s="129">
        <f t="shared" si="3"/>
        <v>1711.73</v>
      </c>
      <c r="S30" s="129">
        <f t="shared" si="3"/>
        <v>583.24</v>
      </c>
      <c r="T30" s="129">
        <f t="shared" si="3"/>
        <v>659.33</v>
      </c>
      <c r="U30" s="129">
        <f t="shared" si="3"/>
        <v>1329.0200000000002</v>
      </c>
      <c r="V30" s="129">
        <f t="shared" si="3"/>
        <v>601.87</v>
      </c>
      <c r="W30" s="129">
        <f t="shared" si="3"/>
        <v>728.09</v>
      </c>
      <c r="X30" s="129">
        <f t="shared" si="3"/>
        <v>643.14</v>
      </c>
      <c r="Y30" s="129">
        <f t="shared" si="3"/>
        <v>950.93000000000006</v>
      </c>
      <c r="Z30" s="130">
        <f>Z28+Z29</f>
        <v>25583.799999999992</v>
      </c>
      <c r="AA30" s="131">
        <f t="shared" si="3"/>
        <v>946.66000000000008</v>
      </c>
      <c r="AB30" s="132">
        <f>SUM(AB28:AB29)</f>
        <v>26530.459999999992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1122486.9236025966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675.72157772621824</v>
      </c>
      <c r="C38" s="71">
        <f>X28</f>
        <v>586.00455580865605</v>
      </c>
      <c r="D38" s="72">
        <f>Q28</f>
        <v>1060.7264367816092</v>
      </c>
      <c r="E38" s="72">
        <f>S28</f>
        <v>526.62753950338606</v>
      </c>
      <c r="F38" s="72">
        <f>L28+M28+N28+R28+X28</f>
        <v>4920.2733485193621</v>
      </c>
      <c r="G38" s="72">
        <f>P28</f>
        <v>2978.5248868778281</v>
      </c>
      <c r="H38" s="72">
        <f>T28</f>
        <v>596.67873303167426</v>
      </c>
      <c r="I38" s="72">
        <f>V28</f>
        <v>545.9138321995465</v>
      </c>
      <c r="J38" s="72">
        <f>C28</f>
        <v>1215.5565610859728</v>
      </c>
      <c r="K38" s="72">
        <f>O28</f>
        <v>1724.1281464530894</v>
      </c>
      <c r="L38" s="72">
        <f>J28</f>
        <v>940.28959276018099</v>
      </c>
      <c r="M38" s="72">
        <f>B28+E28</f>
        <v>1771.3122171945699</v>
      </c>
      <c r="N38" s="72">
        <f>U28</f>
        <v>1202.7330316742084</v>
      </c>
      <c r="O38" s="73">
        <f>D28+K28</f>
        <v>1522.5759637188207</v>
      </c>
      <c r="P38" s="72">
        <f>Y28</f>
        <v>874.41839080459783</v>
      </c>
      <c r="Q38" s="118">
        <f>SUM(B38:P38)</f>
        <v>21141.48481413972</v>
      </c>
      <c r="R38" s="42">
        <f>AA28</f>
        <v>873.44373869717663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52.368422273781917</v>
      </c>
      <c r="C40" s="80">
        <f t="shared" ref="C40:P40" si="4">C38*C39</f>
        <v>45.415353075170842</v>
      </c>
      <c r="D40" s="80">
        <f t="shared" si="4"/>
        <v>92.813563218390797</v>
      </c>
      <c r="E40" s="80">
        <f t="shared" si="4"/>
        <v>56.612460496613998</v>
      </c>
      <c r="F40" s="80">
        <f t="shared" si="4"/>
        <v>479.72665148063783</v>
      </c>
      <c r="G40" s="80">
        <f t="shared" si="4"/>
        <v>312.74511312217192</v>
      </c>
      <c r="H40" s="80">
        <f t="shared" si="4"/>
        <v>62.651266968325793</v>
      </c>
      <c r="I40" s="80">
        <f t="shared" si="4"/>
        <v>55.956167800453514</v>
      </c>
      <c r="J40" s="80">
        <f t="shared" si="4"/>
        <v>127.63343891402714</v>
      </c>
      <c r="K40" s="80">
        <f t="shared" si="4"/>
        <v>159.48185354691077</v>
      </c>
      <c r="L40" s="80">
        <f t="shared" si="4"/>
        <v>98.730407239819002</v>
      </c>
      <c r="M40" s="80">
        <f t="shared" si="4"/>
        <v>185.98778280542984</v>
      </c>
      <c r="N40" s="80">
        <f t="shared" si="4"/>
        <v>126.28696832579188</v>
      </c>
      <c r="O40" s="81">
        <f t="shared" si="4"/>
        <v>156.06403628117911</v>
      </c>
      <c r="P40" s="80">
        <f t="shared" si="4"/>
        <v>76.511609195402301</v>
      </c>
      <c r="Q40" s="138">
        <f>SUM(B40:P40)</f>
        <v>2088.9850947441068</v>
      </c>
      <c r="R40" s="137">
        <f>R38*R39</f>
        <v>73.194585302823398</v>
      </c>
    </row>
    <row r="41" spans="1:28" ht="18" customHeight="1" thickBot="1" x14ac:dyDescent="0.3">
      <c r="A41" s="49" t="s">
        <v>4</v>
      </c>
      <c r="B41" s="82">
        <f>B38+B40</f>
        <v>728.09000000000015</v>
      </c>
      <c r="C41" s="83">
        <f t="shared" ref="C41:R41" si="5">C38+C40</f>
        <v>631.41990888382691</v>
      </c>
      <c r="D41" s="83">
        <f t="shared" si="5"/>
        <v>1153.54</v>
      </c>
      <c r="E41" s="83">
        <f t="shared" si="5"/>
        <v>583.24</v>
      </c>
      <c r="F41" s="83">
        <f t="shared" si="5"/>
        <v>5400</v>
      </c>
      <c r="G41" s="83">
        <f t="shared" si="5"/>
        <v>3291.27</v>
      </c>
      <c r="H41" s="83">
        <f t="shared" si="5"/>
        <v>659.33</v>
      </c>
      <c r="I41" s="83">
        <f t="shared" si="5"/>
        <v>601.87</v>
      </c>
      <c r="J41" s="83">
        <f t="shared" si="5"/>
        <v>1343.19</v>
      </c>
      <c r="K41" s="83">
        <f t="shared" si="5"/>
        <v>1883.6100000000001</v>
      </c>
      <c r="L41" s="83">
        <f t="shared" si="5"/>
        <v>1039.02</v>
      </c>
      <c r="M41" s="83">
        <f t="shared" si="5"/>
        <v>1957.2999999999997</v>
      </c>
      <c r="N41" s="83">
        <f t="shared" si="5"/>
        <v>1329.0200000000002</v>
      </c>
      <c r="O41" s="84">
        <f t="shared" si="5"/>
        <v>1678.6399999999999</v>
      </c>
      <c r="P41" s="83">
        <f t="shared" si="5"/>
        <v>950.93000000000018</v>
      </c>
      <c r="Q41" s="120">
        <f>SUM(B41:P41)</f>
        <v>23230.469908883828</v>
      </c>
      <c r="R41" s="85">
        <f t="shared" si="5"/>
        <v>946.63832400000001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577D7-E771-4A28-864C-442FC7F54A8D}">
  <sheetPr>
    <tabColor theme="1"/>
    <pageSetUpPr fitToPage="1"/>
  </sheetPr>
  <dimension ref="A1:AB41"/>
  <sheetViews>
    <sheetView zoomScale="90" zoomScaleNormal="90" workbookViewId="0">
      <selection activeCell="B28" sqref="B28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99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396.09</v>
      </c>
      <c r="C7" s="36">
        <v>73973.73</v>
      </c>
      <c r="D7" s="36">
        <v>53632.58</v>
      </c>
      <c r="E7" s="36">
        <v>54115.22</v>
      </c>
      <c r="F7" s="36">
        <v>41998.59</v>
      </c>
      <c r="G7" s="36">
        <v>22479.64</v>
      </c>
      <c r="H7" s="36">
        <v>37256.6</v>
      </c>
      <c r="I7" s="36">
        <v>27176.47</v>
      </c>
      <c r="J7" s="36">
        <v>46411.95</v>
      </c>
      <c r="K7" s="36">
        <v>19982.68</v>
      </c>
      <c r="L7" s="36">
        <v>28679.09</v>
      </c>
      <c r="M7" s="36">
        <v>42987.53</v>
      </c>
      <c r="N7" s="36">
        <v>72711.38</v>
      </c>
      <c r="O7" s="36">
        <v>43888.52</v>
      </c>
      <c r="P7" s="36">
        <v>53714.3</v>
      </c>
      <c r="Q7" s="36">
        <v>32929.11</v>
      </c>
      <c r="R7" s="36">
        <v>50523.06</v>
      </c>
      <c r="S7" s="36">
        <v>50953.18</v>
      </c>
      <c r="T7" s="36">
        <v>37205.14</v>
      </c>
      <c r="U7" s="36">
        <v>34911.39</v>
      </c>
      <c r="V7" s="36">
        <v>51916.9</v>
      </c>
      <c r="W7" s="36">
        <v>43724.31</v>
      </c>
      <c r="X7" s="36">
        <v>34226.980000000003</v>
      </c>
      <c r="Y7" s="36">
        <v>26646.560000000001</v>
      </c>
      <c r="Z7" s="101">
        <f>SUM(B7:Y7)</f>
        <v>982441.00000000023</v>
      </c>
      <c r="AA7" s="109">
        <v>25531.56</v>
      </c>
      <c r="AB7" s="93">
        <f>Z7+AA7</f>
        <v>1007972.5600000003</v>
      </c>
    </row>
    <row r="8" spans="1:28" ht="17.25" customHeight="1" x14ac:dyDescent="0.25">
      <c r="A8" s="35" t="s">
        <v>6</v>
      </c>
      <c r="B8" s="36">
        <v>0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174.58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174.58</v>
      </c>
      <c r="T8" s="36">
        <v>0</v>
      </c>
      <c r="U8" s="36">
        <v>174.58</v>
      </c>
      <c r="V8" s="36">
        <v>0</v>
      </c>
      <c r="W8" s="36">
        <v>0</v>
      </c>
      <c r="X8" s="36">
        <v>0</v>
      </c>
      <c r="Y8" s="36">
        <v>0</v>
      </c>
      <c r="Z8" s="101">
        <f>SUM(B8:Y8)</f>
        <v>523.74</v>
      </c>
      <c r="AA8" s="109">
        <v>0</v>
      </c>
      <c r="AB8" s="93">
        <f>Z8+AA8</f>
        <v>523.74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101">
        <f>SUM(B9:Y9)</f>
        <v>0</v>
      </c>
      <c r="AA9" s="109">
        <v>81.72</v>
      </c>
      <c r="AB9" s="93">
        <f>Z9+AA9</f>
        <v>81.72</v>
      </c>
    </row>
    <row r="10" spans="1:28" ht="18" customHeight="1" thickBot="1" x14ac:dyDescent="0.3">
      <c r="A10" s="35" t="s">
        <v>7</v>
      </c>
      <c r="B10" s="36">
        <v>0</v>
      </c>
      <c r="C10" s="36">
        <v>0.28000000000000003</v>
      </c>
      <c r="D10" s="36">
        <v>0.2</v>
      </c>
      <c r="E10" s="36">
        <v>0.15</v>
      </c>
      <c r="F10" s="36">
        <v>0.16</v>
      </c>
      <c r="G10" s="36">
        <v>0.15</v>
      </c>
      <c r="H10" s="36">
        <v>0.13</v>
      </c>
      <c r="I10" s="36">
        <v>0.09</v>
      </c>
      <c r="J10" s="36">
        <v>0.14000000000000001</v>
      </c>
      <c r="K10" s="36">
        <v>7.0000000000000007E-2</v>
      </c>
      <c r="L10" s="36">
        <v>0.08</v>
      </c>
      <c r="M10" s="36">
        <v>0.11</v>
      </c>
      <c r="N10" s="36">
        <v>0.41</v>
      </c>
      <c r="O10" s="36">
        <v>0.13</v>
      </c>
      <c r="P10" s="36">
        <v>0.24</v>
      </c>
      <c r="Q10" s="36">
        <v>0.14000000000000001</v>
      </c>
      <c r="R10" s="36">
        <v>0.37</v>
      </c>
      <c r="S10" s="36">
        <v>0.2</v>
      </c>
      <c r="T10" s="36">
        <v>0.13</v>
      </c>
      <c r="U10" s="36">
        <v>0.11</v>
      </c>
      <c r="V10" s="36">
        <v>0.16</v>
      </c>
      <c r="W10" s="36">
        <v>0.13</v>
      </c>
      <c r="X10" s="36">
        <v>0.1</v>
      </c>
      <c r="Y10" s="36">
        <v>0.09</v>
      </c>
      <c r="Z10" s="101">
        <f>SUM(B10:Y10)</f>
        <v>3.7700000000000009</v>
      </c>
      <c r="AA10" s="109">
        <v>7.0000000000000007E-2</v>
      </c>
      <c r="AB10" s="93">
        <f>Z10+AA10</f>
        <v>3.8400000000000007</v>
      </c>
    </row>
    <row r="11" spans="1:28" ht="18" customHeight="1" thickBot="1" x14ac:dyDescent="0.3">
      <c r="A11" s="49" t="s">
        <v>19</v>
      </c>
      <c r="B11" s="89">
        <v>0</v>
      </c>
      <c r="C11" s="89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140">
        <f>SUM(Z7:Z10)</f>
        <v>982968.51000000024</v>
      </c>
      <c r="AA11" s="141">
        <f>SUM(AA7:AA10)</f>
        <v>25613.350000000002</v>
      </c>
      <c r="AB11" s="142">
        <f>SUM(AB7:AB10)</f>
        <v>1008581.8600000002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153.47999999999999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101">
        <f>SUM(B14:Y14)</f>
        <v>153.47999999999999</v>
      </c>
      <c r="AA14" s="109">
        <v>0</v>
      </c>
      <c r="AB14" s="93">
        <f>Z14+AA14</f>
        <v>153.47999999999999</v>
      </c>
    </row>
    <row r="15" spans="1:28" ht="18" customHeight="1" x14ac:dyDescent="0.25">
      <c r="A15" s="35" t="s">
        <v>8</v>
      </c>
      <c r="B15" s="36">
        <v>385.54</v>
      </c>
      <c r="C15" s="36">
        <v>2461.54</v>
      </c>
      <c r="D15" s="36">
        <v>1755.71</v>
      </c>
      <c r="E15" s="36">
        <v>1447.67</v>
      </c>
      <c r="F15" s="36">
        <v>965.92</v>
      </c>
      <c r="G15" s="36">
        <v>746.77</v>
      </c>
      <c r="H15" s="36">
        <v>1746.16</v>
      </c>
      <c r="I15" s="36">
        <v>692.05</v>
      </c>
      <c r="J15" s="36">
        <v>1191.26</v>
      </c>
      <c r="K15" s="36">
        <v>1367.57</v>
      </c>
      <c r="L15" s="36">
        <v>663.16</v>
      </c>
      <c r="M15" s="36">
        <v>1430.63</v>
      </c>
      <c r="N15" s="36">
        <v>2857.55</v>
      </c>
      <c r="O15" s="36">
        <v>1278.7</v>
      </c>
      <c r="P15" s="36">
        <v>1036.8900000000001</v>
      </c>
      <c r="Q15" s="36">
        <v>1947.29</v>
      </c>
      <c r="R15" s="36">
        <v>1571.29</v>
      </c>
      <c r="S15" s="36">
        <v>1404.45</v>
      </c>
      <c r="T15" s="36">
        <v>1456.28</v>
      </c>
      <c r="U15" s="36">
        <v>632.58000000000004</v>
      </c>
      <c r="V15" s="36">
        <v>1635.59</v>
      </c>
      <c r="W15" s="36">
        <v>2175.7800000000002</v>
      </c>
      <c r="X15" s="36">
        <v>919.47</v>
      </c>
      <c r="Y15" s="36">
        <v>1070.68</v>
      </c>
      <c r="Z15" s="101">
        <f>SUM(B15:Y15)</f>
        <v>32840.53</v>
      </c>
      <c r="AA15" s="109">
        <v>1225.26</v>
      </c>
      <c r="AB15" s="93">
        <f>Z15+AA15</f>
        <v>34065.79</v>
      </c>
    </row>
    <row r="16" spans="1:28" ht="18" customHeight="1" x14ac:dyDescent="0.25">
      <c r="A16" s="35" t="s">
        <v>13</v>
      </c>
      <c r="B16" s="36">
        <v>10.039999999999999</v>
      </c>
      <c r="C16" s="36">
        <v>0</v>
      </c>
      <c r="D16" s="36">
        <v>113.61</v>
      </c>
      <c r="E16" s="36">
        <v>0</v>
      </c>
      <c r="F16" s="36">
        <v>162.91999999999999</v>
      </c>
      <c r="G16" s="36">
        <v>19.59</v>
      </c>
      <c r="H16" s="36">
        <v>0</v>
      </c>
      <c r="I16" s="36">
        <v>48.97</v>
      </c>
      <c r="J16" s="36">
        <v>50.22</v>
      </c>
      <c r="K16" s="36">
        <v>0</v>
      </c>
      <c r="L16" s="36">
        <v>0</v>
      </c>
      <c r="M16" s="36">
        <v>135.72</v>
      </c>
      <c r="N16" s="36">
        <v>59.79</v>
      </c>
      <c r="O16" s="36">
        <v>0</v>
      </c>
      <c r="P16" s="36">
        <v>364.29</v>
      </c>
      <c r="Q16" s="36">
        <v>0</v>
      </c>
      <c r="R16" s="36">
        <v>63.55</v>
      </c>
      <c r="S16" s="36">
        <v>40.270000000000003</v>
      </c>
      <c r="T16" s="36">
        <v>76.78</v>
      </c>
      <c r="U16" s="36">
        <v>58.38</v>
      </c>
      <c r="V16" s="36">
        <v>167.49</v>
      </c>
      <c r="W16" s="36">
        <v>124.77</v>
      </c>
      <c r="X16" s="36">
        <v>69.599999999999994</v>
      </c>
      <c r="Y16" s="36">
        <v>151.12</v>
      </c>
      <c r="Z16" s="101">
        <f>SUM(B16:Y16)</f>
        <v>1717.1100000000001</v>
      </c>
      <c r="AA16" s="109">
        <v>59.11</v>
      </c>
      <c r="AB16" s="93">
        <f>Z16+AA16</f>
        <v>1776.22</v>
      </c>
    </row>
    <row r="17" spans="1:28" ht="18" customHeight="1" thickBot="1" x14ac:dyDescent="0.3">
      <c r="A17" s="35" t="s">
        <v>22</v>
      </c>
      <c r="B17" s="36">
        <v>0</v>
      </c>
      <c r="C17" s="36">
        <v>595.54999999999995</v>
      </c>
      <c r="D17" s="36">
        <v>238.01</v>
      </c>
      <c r="E17" s="36">
        <v>239</v>
      </c>
      <c r="F17" s="36">
        <v>160.46</v>
      </c>
      <c r="G17" s="36">
        <v>0</v>
      </c>
      <c r="H17" s="36">
        <v>0</v>
      </c>
      <c r="I17" s="36">
        <v>320.48</v>
      </c>
      <c r="J17" s="36">
        <v>164.1</v>
      </c>
      <c r="K17" s="36">
        <v>164.18</v>
      </c>
      <c r="L17" s="36">
        <v>0</v>
      </c>
      <c r="M17" s="36">
        <v>163.44</v>
      </c>
      <c r="N17" s="36">
        <v>467.51</v>
      </c>
      <c r="O17" s="36">
        <v>0</v>
      </c>
      <c r="P17" s="36">
        <v>164.56</v>
      </c>
      <c r="Q17" s="36">
        <v>0</v>
      </c>
      <c r="R17" s="36">
        <v>713.87</v>
      </c>
      <c r="S17" s="36">
        <v>479.08</v>
      </c>
      <c r="T17" s="36">
        <v>0</v>
      </c>
      <c r="U17" s="36">
        <v>0</v>
      </c>
      <c r="V17" s="36">
        <v>170.56</v>
      </c>
      <c r="W17" s="36">
        <v>167.14</v>
      </c>
      <c r="X17" s="36">
        <v>0</v>
      </c>
      <c r="Y17" s="36">
        <v>0</v>
      </c>
      <c r="Z17" s="101">
        <f>SUM(B17:Y17)</f>
        <v>4207.9399999999996</v>
      </c>
      <c r="AA17" s="109">
        <v>0</v>
      </c>
      <c r="AB17" s="93">
        <f>Z17+AA17</f>
        <v>4207.9399999999996</v>
      </c>
    </row>
    <row r="18" spans="1:28" ht="18" customHeight="1" thickBot="1" x14ac:dyDescent="0.3">
      <c r="A18" s="85" t="s">
        <v>20</v>
      </c>
      <c r="B18" s="89">
        <f>SUM(B14:B17)</f>
        <v>395.58000000000004</v>
      </c>
      <c r="C18" s="89">
        <f t="shared" ref="C18:AB18" si="0">SUM(C14:C17)</f>
        <v>3057.09</v>
      </c>
      <c r="D18" s="89">
        <f t="shared" si="0"/>
        <v>2107.33</v>
      </c>
      <c r="E18" s="89">
        <f t="shared" si="0"/>
        <v>1686.67</v>
      </c>
      <c r="F18" s="89">
        <f t="shared" si="0"/>
        <v>1289.3</v>
      </c>
      <c r="G18" s="89">
        <f t="shared" si="0"/>
        <v>766.36</v>
      </c>
      <c r="H18" s="89">
        <f t="shared" si="0"/>
        <v>1746.16</v>
      </c>
      <c r="I18" s="89">
        <f t="shared" si="0"/>
        <v>1061.5</v>
      </c>
      <c r="J18" s="89">
        <f t="shared" si="0"/>
        <v>1405.58</v>
      </c>
      <c r="K18" s="89">
        <f t="shared" si="0"/>
        <v>1531.75</v>
      </c>
      <c r="L18" s="89">
        <f t="shared" si="0"/>
        <v>663.16</v>
      </c>
      <c r="M18" s="89">
        <f t="shared" si="0"/>
        <v>1729.7900000000002</v>
      </c>
      <c r="N18" s="89">
        <f t="shared" si="0"/>
        <v>3384.8500000000004</v>
      </c>
      <c r="O18" s="89">
        <f t="shared" si="0"/>
        <v>1278.7</v>
      </c>
      <c r="P18" s="89">
        <f t="shared" si="0"/>
        <v>1565.74</v>
      </c>
      <c r="Q18" s="89">
        <f t="shared" si="0"/>
        <v>1947.29</v>
      </c>
      <c r="R18" s="89">
        <f t="shared" si="0"/>
        <v>2502.19</v>
      </c>
      <c r="S18" s="89">
        <f t="shared" si="0"/>
        <v>1923.8</v>
      </c>
      <c r="T18" s="89">
        <f t="shared" si="0"/>
        <v>1533.06</v>
      </c>
      <c r="U18" s="89">
        <f t="shared" si="0"/>
        <v>690.96</v>
      </c>
      <c r="V18" s="89">
        <f t="shared" si="0"/>
        <v>1973.6399999999999</v>
      </c>
      <c r="W18" s="89">
        <f t="shared" si="0"/>
        <v>2467.69</v>
      </c>
      <c r="X18" s="89">
        <f t="shared" si="0"/>
        <v>989.07</v>
      </c>
      <c r="Y18" s="89">
        <f t="shared" si="0"/>
        <v>1221.8000000000002</v>
      </c>
      <c r="Z18" s="102">
        <f>SUM(Z14:Z17)</f>
        <v>38919.060000000005</v>
      </c>
      <c r="AA18" s="102">
        <f>SUM(AA14:AA17)</f>
        <v>1284.3699999999999</v>
      </c>
      <c r="AB18" s="94">
        <f t="shared" si="0"/>
        <v>40203.430000000008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395.58000000000004</v>
      </c>
      <c r="C20" s="39">
        <f t="shared" ref="C20:AB20" si="1">SUM(C11,C18)</f>
        <v>3057.09</v>
      </c>
      <c r="D20" s="39">
        <f t="shared" si="1"/>
        <v>2107.33</v>
      </c>
      <c r="E20" s="39">
        <f t="shared" si="1"/>
        <v>1686.67</v>
      </c>
      <c r="F20" s="39">
        <f t="shared" si="1"/>
        <v>1289.3</v>
      </c>
      <c r="G20" s="39">
        <f t="shared" si="1"/>
        <v>766.36</v>
      </c>
      <c r="H20" s="39">
        <f t="shared" si="1"/>
        <v>1746.16</v>
      </c>
      <c r="I20" s="39">
        <f t="shared" si="1"/>
        <v>1061.5</v>
      </c>
      <c r="J20" s="39">
        <f t="shared" si="1"/>
        <v>1405.58</v>
      </c>
      <c r="K20" s="39">
        <f t="shared" si="1"/>
        <v>1531.75</v>
      </c>
      <c r="L20" s="39">
        <f t="shared" si="1"/>
        <v>663.16</v>
      </c>
      <c r="M20" s="39">
        <f t="shared" si="1"/>
        <v>1729.7900000000002</v>
      </c>
      <c r="N20" s="39">
        <f t="shared" si="1"/>
        <v>3384.8500000000004</v>
      </c>
      <c r="O20" s="39">
        <f t="shared" si="1"/>
        <v>1278.7</v>
      </c>
      <c r="P20" s="39">
        <f t="shared" si="1"/>
        <v>1565.74</v>
      </c>
      <c r="Q20" s="39">
        <f t="shared" si="1"/>
        <v>1947.29</v>
      </c>
      <c r="R20" s="39">
        <f t="shared" si="1"/>
        <v>2502.19</v>
      </c>
      <c r="S20" s="39">
        <f t="shared" si="1"/>
        <v>1923.8</v>
      </c>
      <c r="T20" s="39">
        <f t="shared" si="1"/>
        <v>1533.06</v>
      </c>
      <c r="U20" s="39">
        <f t="shared" si="1"/>
        <v>690.96</v>
      </c>
      <c r="V20" s="39">
        <f t="shared" si="1"/>
        <v>1973.6399999999999</v>
      </c>
      <c r="W20" s="39">
        <f t="shared" si="1"/>
        <v>2467.69</v>
      </c>
      <c r="X20" s="39">
        <f t="shared" si="1"/>
        <v>989.07</v>
      </c>
      <c r="Y20" s="39">
        <f t="shared" si="1"/>
        <v>1221.8000000000002</v>
      </c>
      <c r="Z20" s="139">
        <f>Z11+Z18</f>
        <v>1021887.5700000003</v>
      </c>
      <c r="AA20" s="143">
        <f>AA11+AA18</f>
        <v>26897.72</v>
      </c>
      <c r="AB20" s="136">
        <f t="shared" si="1"/>
        <v>1048785.2900000003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B18/1.105</f>
        <v>357.99095022624437</v>
      </c>
      <c r="C28" s="56">
        <f>C18/1.105</f>
        <v>2766.5972850678736</v>
      </c>
      <c r="D28" s="56">
        <f>D18/1.1025</f>
        <v>1911.4104308390022</v>
      </c>
      <c r="E28" s="56">
        <f>E18/1.105</f>
        <v>1526.3981900452491</v>
      </c>
      <c r="F28" s="56">
        <f>F18/1.0775</f>
        <v>1196.5661252900234</v>
      </c>
      <c r="G28" s="56">
        <f>G18/1.0775</f>
        <v>711.23897911832955</v>
      </c>
      <c r="H28" s="56">
        <f>H18/1.0775</f>
        <v>1620.5661252900234</v>
      </c>
      <c r="I28" s="56">
        <f>I18/1.0775</f>
        <v>985.15081206496529</v>
      </c>
      <c r="J28" s="56">
        <f>J18/1.105</f>
        <v>1272.0180995475112</v>
      </c>
      <c r="K28" s="56">
        <f>K18/1.1025</f>
        <v>1389.3424036281178</v>
      </c>
      <c r="L28" s="56">
        <f>L18/1.0975</f>
        <v>604.24601366742593</v>
      </c>
      <c r="M28" s="56">
        <f>M18/1.0975</f>
        <v>1576.1184510250573</v>
      </c>
      <c r="N28" s="56">
        <f>N18/1.0975</f>
        <v>3084.1457858769936</v>
      </c>
      <c r="O28" s="56">
        <f>O18/1.0925</f>
        <v>1170.4347826086957</v>
      </c>
      <c r="P28" s="56">
        <f>P18/1.105</f>
        <v>1416.9592760180997</v>
      </c>
      <c r="Q28" s="56">
        <f>Q18/1.0875</f>
        <v>1790.6114942528736</v>
      </c>
      <c r="R28" s="56">
        <f>R18/1.0975</f>
        <v>2279.8997722095673</v>
      </c>
      <c r="S28" s="56">
        <f>S18/1.1075</f>
        <v>1737.0654627539504</v>
      </c>
      <c r="T28" s="56">
        <f>T18/1.105</f>
        <v>1387.3846153846152</v>
      </c>
      <c r="U28" s="56">
        <f>U18/1.105</f>
        <v>625.30316742081448</v>
      </c>
      <c r="V28" s="56">
        <f>V18/1.1025</f>
        <v>1790.1496598639453</v>
      </c>
      <c r="W28" s="56">
        <f>W18/1.0775</f>
        <v>2290.1995359628772</v>
      </c>
      <c r="X28" s="56">
        <f>X18/1.0975</f>
        <v>901.20273348519379</v>
      </c>
      <c r="Y28" s="56">
        <f>Y18/1.0875</f>
        <v>1123.4942528735635</v>
      </c>
      <c r="Z28" s="127">
        <f>SUM(B28:Y28)-0.54</f>
        <v>35513.954404521013</v>
      </c>
      <c r="AA28" s="128">
        <f>AA18/1.0838-0.02</f>
        <v>1185.0418195238972</v>
      </c>
      <c r="AB28" s="100">
        <f>Z28+AA28</f>
        <v>36698.996224044909</v>
      </c>
    </row>
    <row r="29" spans="1:28" ht="18" customHeight="1" thickBot="1" x14ac:dyDescent="0.3">
      <c r="A29" s="52" t="s">
        <v>63</v>
      </c>
      <c r="B29" s="56">
        <f>B18-B28</f>
        <v>37.589049773755676</v>
      </c>
      <c r="C29" s="56">
        <f t="shared" ref="C29:Y29" si="2">C18-C28</f>
        <v>290.49271493212655</v>
      </c>
      <c r="D29" s="56">
        <f t="shared" si="2"/>
        <v>195.91956916099775</v>
      </c>
      <c r="E29" s="56">
        <f t="shared" si="2"/>
        <v>160.27180995475101</v>
      </c>
      <c r="F29" s="56">
        <f t="shared" si="2"/>
        <v>92.73387470997659</v>
      </c>
      <c r="G29" s="56">
        <f t="shared" si="2"/>
        <v>55.121020881670461</v>
      </c>
      <c r="H29" s="56">
        <f t="shared" si="2"/>
        <v>125.59387470997672</v>
      </c>
      <c r="I29" s="56">
        <f t="shared" si="2"/>
        <v>76.349187935034706</v>
      </c>
      <c r="J29" s="56">
        <f t="shared" si="2"/>
        <v>133.56190045248877</v>
      </c>
      <c r="K29" s="56">
        <f t="shared" si="2"/>
        <v>142.40759637188216</v>
      </c>
      <c r="L29" s="56">
        <f t="shared" si="2"/>
        <v>58.913986332574041</v>
      </c>
      <c r="M29" s="56">
        <f t="shared" si="2"/>
        <v>153.67154897494288</v>
      </c>
      <c r="N29" s="56">
        <f t="shared" si="2"/>
        <v>300.70421412300675</v>
      </c>
      <c r="O29" s="56">
        <f t="shared" si="2"/>
        <v>108.2652173913043</v>
      </c>
      <c r="P29" s="56">
        <f t="shared" si="2"/>
        <v>148.78072398190034</v>
      </c>
      <c r="Q29" s="56">
        <f t="shared" si="2"/>
        <v>156.67850574712634</v>
      </c>
      <c r="R29" s="56">
        <f t="shared" si="2"/>
        <v>222.29022779043271</v>
      </c>
      <c r="S29" s="56">
        <f t="shared" si="2"/>
        <v>186.73453724604951</v>
      </c>
      <c r="T29" s="56">
        <f t="shared" si="2"/>
        <v>145.6753846153847</v>
      </c>
      <c r="U29" s="56">
        <f t="shared" si="2"/>
        <v>65.656832579185561</v>
      </c>
      <c r="V29" s="56">
        <f t="shared" si="2"/>
        <v>183.49034013605456</v>
      </c>
      <c r="W29" s="56">
        <f t="shared" si="2"/>
        <v>177.49046403712282</v>
      </c>
      <c r="X29" s="56">
        <f t="shared" si="2"/>
        <v>87.867266514806261</v>
      </c>
      <c r="Y29" s="56">
        <f t="shared" si="2"/>
        <v>98.3057471264367</v>
      </c>
      <c r="Z29" s="135">
        <f>SUM(B29:Y29)+0.54</f>
        <v>3405.1055954789881</v>
      </c>
      <c r="AA29" s="144">
        <f>AA18-AA28</f>
        <v>99.328180476102716</v>
      </c>
      <c r="AB29" s="100">
        <f>Z29+AA29</f>
        <v>3504.4337759550908</v>
      </c>
    </row>
    <row r="30" spans="1:28" ht="18" customHeight="1" thickBot="1" x14ac:dyDescent="0.3">
      <c r="A30" s="49"/>
      <c r="B30" s="129">
        <f>B28+B29</f>
        <v>395.58000000000004</v>
      </c>
      <c r="C30" s="129">
        <f t="shared" ref="C30:AA30" si="3">C28+C29</f>
        <v>3057.09</v>
      </c>
      <c r="D30" s="129">
        <f t="shared" si="3"/>
        <v>2107.33</v>
      </c>
      <c r="E30" s="129">
        <f t="shared" si="3"/>
        <v>1686.67</v>
      </c>
      <c r="F30" s="129">
        <f t="shared" si="3"/>
        <v>1289.3</v>
      </c>
      <c r="G30" s="129">
        <f t="shared" si="3"/>
        <v>766.36</v>
      </c>
      <c r="H30" s="129">
        <f t="shared" si="3"/>
        <v>1746.16</v>
      </c>
      <c r="I30" s="129">
        <f t="shared" si="3"/>
        <v>1061.5</v>
      </c>
      <c r="J30" s="129">
        <f t="shared" si="3"/>
        <v>1405.58</v>
      </c>
      <c r="K30" s="129">
        <f t="shared" si="3"/>
        <v>1531.75</v>
      </c>
      <c r="L30" s="129">
        <f t="shared" si="3"/>
        <v>663.16</v>
      </c>
      <c r="M30" s="129">
        <f t="shared" si="3"/>
        <v>1729.7900000000002</v>
      </c>
      <c r="N30" s="129">
        <f t="shared" si="3"/>
        <v>3384.8500000000004</v>
      </c>
      <c r="O30" s="129">
        <f t="shared" si="3"/>
        <v>1278.7</v>
      </c>
      <c r="P30" s="129">
        <f t="shared" si="3"/>
        <v>1565.74</v>
      </c>
      <c r="Q30" s="129">
        <f t="shared" si="3"/>
        <v>1947.29</v>
      </c>
      <c r="R30" s="129">
        <f t="shared" si="3"/>
        <v>2502.19</v>
      </c>
      <c r="S30" s="129">
        <f t="shared" si="3"/>
        <v>1923.8</v>
      </c>
      <c r="T30" s="129">
        <f t="shared" si="3"/>
        <v>1533.06</v>
      </c>
      <c r="U30" s="129">
        <f t="shared" si="3"/>
        <v>690.96</v>
      </c>
      <c r="V30" s="129">
        <f t="shared" si="3"/>
        <v>1973.6399999999999</v>
      </c>
      <c r="W30" s="129">
        <f t="shared" si="3"/>
        <v>2467.69</v>
      </c>
      <c r="X30" s="129">
        <f t="shared" si="3"/>
        <v>989.07</v>
      </c>
      <c r="Y30" s="129">
        <f t="shared" si="3"/>
        <v>1221.8000000000002</v>
      </c>
      <c r="Z30" s="130">
        <f>Z28+Z29</f>
        <v>38919.06</v>
      </c>
      <c r="AA30" s="131">
        <f t="shared" si="3"/>
        <v>1284.3699999999999</v>
      </c>
      <c r="AB30" s="132">
        <f>SUM(AB28:AB29)</f>
        <v>40203.43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1045280.8562240452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2290.1995359628772</v>
      </c>
      <c r="C38" s="71">
        <f>X28</f>
        <v>901.20273348519379</v>
      </c>
      <c r="D38" s="72">
        <f>Q28</f>
        <v>1790.6114942528736</v>
      </c>
      <c r="E38" s="72">
        <f>S28</f>
        <v>1737.0654627539504</v>
      </c>
      <c r="F38" s="72">
        <f>L28+M28+N28+R28+X28</f>
        <v>8445.6127562642378</v>
      </c>
      <c r="G38" s="72">
        <f>P28</f>
        <v>1416.9592760180997</v>
      </c>
      <c r="H38" s="72">
        <f>T28</f>
        <v>1387.3846153846152</v>
      </c>
      <c r="I38" s="72">
        <f>V28</f>
        <v>1790.1496598639453</v>
      </c>
      <c r="J38" s="72">
        <f>C28</f>
        <v>2766.5972850678736</v>
      </c>
      <c r="K38" s="72">
        <f>O28</f>
        <v>1170.4347826086957</v>
      </c>
      <c r="L38" s="72">
        <f>J28</f>
        <v>1272.0180995475112</v>
      </c>
      <c r="M38" s="72">
        <f>B28+E28</f>
        <v>1884.3891402714935</v>
      </c>
      <c r="N38" s="72">
        <f>U28</f>
        <v>625.30316742081448</v>
      </c>
      <c r="O38" s="73">
        <f>D28+K28</f>
        <v>3300.75283446712</v>
      </c>
      <c r="P38" s="72">
        <f>Y28</f>
        <v>1123.4942528735635</v>
      </c>
      <c r="Q38" s="118">
        <f>SUM(B38:P38)</f>
        <v>31902.17509624287</v>
      </c>
      <c r="R38" s="42">
        <f>AA28</f>
        <v>1185.0418195238972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177.49046403712299</v>
      </c>
      <c r="C40" s="80">
        <f t="shared" ref="C40:P40" si="4">C38*C39</f>
        <v>69.843211845102516</v>
      </c>
      <c r="D40" s="80">
        <f t="shared" si="4"/>
        <v>156.67850574712642</v>
      </c>
      <c r="E40" s="80">
        <f t="shared" si="4"/>
        <v>186.73453724604968</v>
      </c>
      <c r="F40" s="80">
        <f t="shared" si="4"/>
        <v>823.44724373576321</v>
      </c>
      <c r="G40" s="80">
        <f t="shared" si="4"/>
        <v>148.78072398190045</v>
      </c>
      <c r="H40" s="80">
        <f t="shared" si="4"/>
        <v>145.67538461538459</v>
      </c>
      <c r="I40" s="80">
        <f t="shared" si="4"/>
        <v>183.49034013605439</v>
      </c>
      <c r="J40" s="80">
        <f t="shared" si="4"/>
        <v>290.49271493212672</v>
      </c>
      <c r="K40" s="80">
        <f t="shared" si="4"/>
        <v>108.26521739130436</v>
      </c>
      <c r="L40" s="80">
        <f t="shared" si="4"/>
        <v>133.56190045248866</v>
      </c>
      <c r="M40" s="80">
        <f t="shared" si="4"/>
        <v>197.8608597285068</v>
      </c>
      <c r="N40" s="80">
        <f t="shared" si="4"/>
        <v>65.656832579185519</v>
      </c>
      <c r="O40" s="81">
        <f t="shared" si="4"/>
        <v>338.3271655328798</v>
      </c>
      <c r="P40" s="80">
        <f t="shared" si="4"/>
        <v>98.305747126436799</v>
      </c>
      <c r="Q40" s="138">
        <f>SUM(B40:P40)</f>
        <v>3124.6108490874331</v>
      </c>
      <c r="R40" s="137">
        <f>R38*R39</f>
        <v>99.306504476102589</v>
      </c>
    </row>
    <row r="41" spans="1:28" ht="18" customHeight="1" thickBot="1" x14ac:dyDescent="0.3">
      <c r="A41" s="49" t="s">
        <v>4</v>
      </c>
      <c r="B41" s="82">
        <f>B38+B40</f>
        <v>2467.69</v>
      </c>
      <c r="C41" s="83">
        <f t="shared" ref="C41:R41" si="5">C38+C40</f>
        <v>971.04594533029626</v>
      </c>
      <c r="D41" s="83">
        <f t="shared" si="5"/>
        <v>1947.29</v>
      </c>
      <c r="E41" s="83">
        <f t="shared" si="5"/>
        <v>1923.8000000000002</v>
      </c>
      <c r="F41" s="83">
        <f t="shared" si="5"/>
        <v>9269.0600000000013</v>
      </c>
      <c r="G41" s="83">
        <f t="shared" si="5"/>
        <v>1565.7400000000002</v>
      </c>
      <c r="H41" s="83">
        <f t="shared" si="5"/>
        <v>1533.06</v>
      </c>
      <c r="I41" s="83">
        <f t="shared" si="5"/>
        <v>1973.6399999999996</v>
      </c>
      <c r="J41" s="83">
        <f t="shared" si="5"/>
        <v>3057.09</v>
      </c>
      <c r="K41" s="83">
        <f t="shared" si="5"/>
        <v>1278.7</v>
      </c>
      <c r="L41" s="83">
        <f t="shared" si="5"/>
        <v>1405.58</v>
      </c>
      <c r="M41" s="83">
        <f t="shared" si="5"/>
        <v>2082.2500000000005</v>
      </c>
      <c r="N41" s="83">
        <f t="shared" si="5"/>
        <v>690.96</v>
      </c>
      <c r="O41" s="84">
        <f t="shared" si="5"/>
        <v>3639.08</v>
      </c>
      <c r="P41" s="83">
        <f t="shared" si="5"/>
        <v>1221.8000000000002</v>
      </c>
      <c r="Q41" s="120">
        <f>SUM(B41:P41)</f>
        <v>35026.785945330303</v>
      </c>
      <c r="R41" s="85">
        <f t="shared" si="5"/>
        <v>1284.3483239999998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F4546-BFEB-43BC-A976-EB2C4913EDA5}">
  <sheetPr>
    <tabColor theme="1"/>
    <pageSetUpPr fitToPage="1"/>
  </sheetPr>
  <dimension ref="A1:AB41"/>
  <sheetViews>
    <sheetView zoomScale="80" zoomScaleNormal="80" workbookViewId="0">
      <selection activeCell="B28" sqref="B28"/>
    </sheetView>
  </sheetViews>
  <sheetFormatPr defaultColWidth="11.140625" defaultRowHeight="18" customHeight="1" x14ac:dyDescent="0.25"/>
  <cols>
    <col min="1" max="5" width="11.140625" style="27"/>
    <col min="6" max="6" width="13.85546875" style="27" customWidth="1"/>
    <col min="7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98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0</v>
      </c>
      <c r="C7" s="36">
        <v>67352.42</v>
      </c>
      <c r="D7" s="36">
        <v>49236.83</v>
      </c>
      <c r="E7" s="36">
        <v>49826.53</v>
      </c>
      <c r="F7" s="36">
        <v>42851.65</v>
      </c>
      <c r="G7" s="36">
        <v>23212.080000000002</v>
      </c>
      <c r="H7" s="36">
        <v>43375.07</v>
      </c>
      <c r="I7" s="36">
        <v>27526.44</v>
      </c>
      <c r="J7" s="36">
        <v>44589.17</v>
      </c>
      <c r="K7" s="36">
        <v>22148.55</v>
      </c>
      <c r="L7" s="36">
        <v>26369.42</v>
      </c>
      <c r="M7" s="36">
        <v>41222.57</v>
      </c>
      <c r="N7" s="36">
        <v>68666.399999999994</v>
      </c>
      <c r="O7" s="36">
        <v>41264.35</v>
      </c>
      <c r="P7" s="36">
        <v>52139.4</v>
      </c>
      <c r="Q7" s="36">
        <v>28725.67</v>
      </c>
      <c r="R7" s="36">
        <v>50833.87</v>
      </c>
      <c r="S7" s="36">
        <v>47755.35</v>
      </c>
      <c r="T7" s="36">
        <v>37846.19</v>
      </c>
      <c r="U7" s="36">
        <v>31519.26</v>
      </c>
      <c r="V7" s="36">
        <v>55293.16</v>
      </c>
      <c r="W7" s="36">
        <v>48469.96</v>
      </c>
      <c r="X7" s="36">
        <v>34135.64</v>
      </c>
      <c r="Y7" s="36">
        <v>25547.31</v>
      </c>
      <c r="Z7" s="101">
        <f>SUM(B7:Y7)</f>
        <v>959907.29</v>
      </c>
      <c r="AA7" s="109">
        <v>26035.51</v>
      </c>
      <c r="AB7" s="93">
        <f>Z7+AA7</f>
        <v>985942.8</v>
      </c>
    </row>
    <row r="8" spans="1:28" ht="17.25" customHeight="1" x14ac:dyDescent="0.25">
      <c r="A8" s="35" t="s">
        <v>6</v>
      </c>
      <c r="B8" s="36">
        <v>0</v>
      </c>
      <c r="C8" s="36">
        <v>174.1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174.1</v>
      </c>
      <c r="W8" s="36">
        <v>0</v>
      </c>
      <c r="X8" s="36">
        <v>0</v>
      </c>
      <c r="Y8" s="36">
        <v>0</v>
      </c>
      <c r="Z8" s="101">
        <f>SUM(B8:Y8)</f>
        <v>348.2</v>
      </c>
      <c r="AA8" s="109">
        <v>0</v>
      </c>
      <c r="AB8" s="93">
        <f>Z8+AA8</f>
        <v>348.2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101">
        <f>SUM(B9:Y9)</f>
        <v>0</v>
      </c>
      <c r="AA9" s="109">
        <v>0</v>
      </c>
      <c r="AB9" s="93">
        <f>Z9+AA9</f>
        <v>0</v>
      </c>
    </row>
    <row r="10" spans="1:28" ht="18" customHeight="1" thickBot="1" x14ac:dyDescent="0.3">
      <c r="A10" s="35" t="s">
        <v>7</v>
      </c>
      <c r="B10" s="36">
        <v>0</v>
      </c>
      <c r="C10" s="36">
        <v>0.24</v>
      </c>
      <c r="D10" s="36">
        <v>0.14000000000000001</v>
      </c>
      <c r="E10" s="36">
        <v>0.11</v>
      </c>
      <c r="F10" s="36">
        <v>0.17</v>
      </c>
      <c r="G10" s="36">
        <v>0.14000000000000001</v>
      </c>
      <c r="H10" s="36">
        <v>0.11</v>
      </c>
      <c r="I10" s="36">
        <v>0.12</v>
      </c>
      <c r="J10" s="36">
        <v>0.1</v>
      </c>
      <c r="K10" s="36">
        <v>0.08</v>
      </c>
      <c r="L10" s="36">
        <v>0.19</v>
      </c>
      <c r="M10" s="36">
        <v>0.11</v>
      </c>
      <c r="N10" s="36">
        <v>0.35</v>
      </c>
      <c r="O10" s="36">
        <v>0.14000000000000001</v>
      </c>
      <c r="P10" s="36">
        <v>0.21</v>
      </c>
      <c r="Q10" s="36">
        <v>0.22</v>
      </c>
      <c r="R10" s="36">
        <v>0.42</v>
      </c>
      <c r="S10" s="36">
        <v>0.16</v>
      </c>
      <c r="T10" s="36">
        <v>0.16</v>
      </c>
      <c r="U10" s="36">
        <v>0.18</v>
      </c>
      <c r="V10" s="36">
        <v>0.24</v>
      </c>
      <c r="W10" s="36">
        <v>0.14000000000000001</v>
      </c>
      <c r="X10" s="36">
        <v>0.16</v>
      </c>
      <c r="Y10" s="36">
        <v>0.09</v>
      </c>
      <c r="Z10" s="101">
        <f>SUM(B10:Y10)</f>
        <v>3.9800000000000009</v>
      </c>
      <c r="AA10" s="109">
        <v>0.08</v>
      </c>
      <c r="AB10" s="93">
        <f>Z10+AA10</f>
        <v>4.0600000000000005</v>
      </c>
    </row>
    <row r="11" spans="1:28" ht="18" customHeight="1" thickBot="1" x14ac:dyDescent="0.3">
      <c r="A11" s="49" t="s">
        <v>19</v>
      </c>
      <c r="B11" s="89">
        <v>0</v>
      </c>
      <c r="C11" s="89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140">
        <f>SUM(Z7:Z10)</f>
        <v>960259.47</v>
      </c>
      <c r="AA11" s="141">
        <f>SUM(AA7:AA10)</f>
        <v>26035.59</v>
      </c>
      <c r="AB11" s="142">
        <f>SUM(AB7:AB10)</f>
        <v>986295.06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101">
        <f>SUM(B14:Y14)</f>
        <v>0</v>
      </c>
      <c r="AA14" s="109">
        <v>0</v>
      </c>
      <c r="AB14" s="93">
        <f>Z14+AA14</f>
        <v>0</v>
      </c>
    </row>
    <row r="15" spans="1:28" ht="18" customHeight="1" x14ac:dyDescent="0.25">
      <c r="A15" s="35" t="s">
        <v>8</v>
      </c>
      <c r="B15" s="36">
        <v>193.39000000000001</v>
      </c>
      <c r="C15" s="36">
        <v>1060.8900000000001</v>
      </c>
      <c r="D15" s="36">
        <v>857.05</v>
      </c>
      <c r="E15" s="36">
        <v>436.59</v>
      </c>
      <c r="F15" s="36">
        <v>385.76</v>
      </c>
      <c r="G15" s="36">
        <v>838.11</v>
      </c>
      <c r="H15" s="36">
        <v>1293.93</v>
      </c>
      <c r="I15" s="36">
        <v>541.51</v>
      </c>
      <c r="J15" s="36">
        <v>1186.21</v>
      </c>
      <c r="K15" s="36">
        <v>602.84</v>
      </c>
      <c r="L15" s="36">
        <v>776.97</v>
      </c>
      <c r="M15" s="36">
        <v>1407.64</v>
      </c>
      <c r="N15" s="36">
        <v>1280.8599999999999</v>
      </c>
      <c r="O15" s="36">
        <v>520.27</v>
      </c>
      <c r="P15" s="36">
        <v>1145.83</v>
      </c>
      <c r="Q15" s="36">
        <v>779.57</v>
      </c>
      <c r="R15" s="36">
        <v>920.7</v>
      </c>
      <c r="S15" s="36">
        <v>707.93</v>
      </c>
      <c r="T15" s="36">
        <v>536.39</v>
      </c>
      <c r="U15" s="36">
        <v>740.17</v>
      </c>
      <c r="V15" s="36">
        <v>887.86</v>
      </c>
      <c r="W15" s="36">
        <v>2086.06</v>
      </c>
      <c r="X15" s="36">
        <v>774.83</v>
      </c>
      <c r="Y15" s="36">
        <v>639.44000000000005</v>
      </c>
      <c r="Z15" s="101">
        <f>SUM(B15:Y15)</f>
        <v>20600.800000000003</v>
      </c>
      <c r="AA15" s="109">
        <v>349.49</v>
      </c>
      <c r="AB15" s="93">
        <f>Z15+AA15</f>
        <v>20950.290000000005</v>
      </c>
    </row>
    <row r="16" spans="1:28" ht="18" customHeight="1" x14ac:dyDescent="0.25">
      <c r="A16" s="35" t="s">
        <v>13</v>
      </c>
      <c r="B16" s="36">
        <v>0</v>
      </c>
      <c r="C16" s="36">
        <v>506.54</v>
      </c>
      <c r="D16" s="36">
        <v>0</v>
      </c>
      <c r="E16" s="36">
        <v>187.7</v>
      </c>
      <c r="F16" s="36">
        <v>133.24</v>
      </c>
      <c r="G16" s="36">
        <v>0</v>
      </c>
      <c r="H16" s="36">
        <v>470.97</v>
      </c>
      <c r="I16" s="36">
        <v>0</v>
      </c>
      <c r="J16" s="36">
        <v>178.68</v>
      </c>
      <c r="K16" s="36">
        <v>0</v>
      </c>
      <c r="L16" s="36">
        <v>70.59</v>
      </c>
      <c r="M16" s="36">
        <v>59.66</v>
      </c>
      <c r="N16" s="36">
        <v>292.32</v>
      </c>
      <c r="O16" s="36">
        <v>126.18</v>
      </c>
      <c r="P16" s="36">
        <v>273.29000000000002</v>
      </c>
      <c r="Q16" s="36">
        <v>0</v>
      </c>
      <c r="R16" s="36">
        <v>0</v>
      </c>
      <c r="S16" s="36">
        <v>131.44999999999999</v>
      </c>
      <c r="T16" s="36">
        <v>63.81</v>
      </c>
      <c r="U16" s="36">
        <v>0</v>
      </c>
      <c r="V16" s="36">
        <v>205.49</v>
      </c>
      <c r="W16" s="36">
        <v>0</v>
      </c>
      <c r="X16" s="36">
        <v>49.72</v>
      </c>
      <c r="Y16" s="36">
        <v>224.14</v>
      </c>
      <c r="Z16" s="101">
        <f>SUM(B16:Y16)</f>
        <v>2973.7799999999997</v>
      </c>
      <c r="AA16" s="109">
        <v>0</v>
      </c>
      <c r="AB16" s="93">
        <f>Z16+AA16</f>
        <v>2973.7799999999997</v>
      </c>
    </row>
    <row r="17" spans="1:28" ht="18" customHeight="1" thickBot="1" x14ac:dyDescent="0.3">
      <c r="A17" s="35" t="s">
        <v>22</v>
      </c>
      <c r="B17" s="36">
        <v>164.1</v>
      </c>
      <c r="C17" s="36">
        <v>519.64</v>
      </c>
      <c r="D17" s="36">
        <v>74.069999999999993</v>
      </c>
      <c r="E17" s="36">
        <v>238.33</v>
      </c>
      <c r="F17" s="36">
        <v>24.36</v>
      </c>
      <c r="G17" s="36">
        <v>0</v>
      </c>
      <c r="H17" s="36">
        <v>160.02000000000001</v>
      </c>
      <c r="I17" s="36">
        <v>0</v>
      </c>
      <c r="J17" s="36">
        <v>0</v>
      </c>
      <c r="K17" s="36">
        <v>0</v>
      </c>
      <c r="L17" s="36">
        <v>169.78</v>
      </c>
      <c r="M17" s="36">
        <v>0</v>
      </c>
      <c r="N17" s="36">
        <v>325.98</v>
      </c>
      <c r="O17" s="36">
        <v>189.76</v>
      </c>
      <c r="P17" s="36">
        <v>164.1</v>
      </c>
      <c r="Q17" s="36">
        <v>161.5</v>
      </c>
      <c r="R17" s="36">
        <v>772.07</v>
      </c>
      <c r="S17" s="36">
        <v>74.400000000000006</v>
      </c>
      <c r="T17" s="36">
        <v>0</v>
      </c>
      <c r="U17" s="36">
        <v>0</v>
      </c>
      <c r="V17" s="36">
        <v>341.12</v>
      </c>
      <c r="W17" s="36">
        <v>0</v>
      </c>
      <c r="X17" s="36">
        <v>222.72</v>
      </c>
      <c r="Y17" s="36">
        <v>161.5</v>
      </c>
      <c r="Z17" s="101">
        <f>SUM(B17:Y17)</f>
        <v>3763.45</v>
      </c>
      <c r="AA17" s="109">
        <v>0</v>
      </c>
      <c r="AB17" s="93">
        <f>Z17+AA17</f>
        <v>3763.45</v>
      </c>
    </row>
    <row r="18" spans="1:28" ht="18" customHeight="1" thickBot="1" x14ac:dyDescent="0.3">
      <c r="A18" s="85" t="s">
        <v>20</v>
      </c>
      <c r="B18" s="89">
        <f>SUM(B14:B17)</f>
        <v>357.49</v>
      </c>
      <c r="C18" s="89">
        <f t="shared" ref="C18:AB18" si="0">SUM(C14:C17)</f>
        <v>2087.0700000000002</v>
      </c>
      <c r="D18" s="89">
        <f t="shared" si="0"/>
        <v>931.11999999999989</v>
      </c>
      <c r="E18" s="89">
        <f t="shared" si="0"/>
        <v>862.62</v>
      </c>
      <c r="F18" s="89">
        <f t="shared" si="0"/>
        <v>543.36</v>
      </c>
      <c r="G18" s="89">
        <f t="shared" si="0"/>
        <v>838.11</v>
      </c>
      <c r="H18" s="89">
        <f t="shared" si="0"/>
        <v>1924.92</v>
      </c>
      <c r="I18" s="89">
        <f t="shared" si="0"/>
        <v>541.51</v>
      </c>
      <c r="J18" s="89">
        <f t="shared" si="0"/>
        <v>1364.89</v>
      </c>
      <c r="K18" s="89">
        <f t="shared" si="0"/>
        <v>602.84</v>
      </c>
      <c r="L18" s="89">
        <f t="shared" si="0"/>
        <v>1017.34</v>
      </c>
      <c r="M18" s="89">
        <f t="shared" si="0"/>
        <v>1467.3000000000002</v>
      </c>
      <c r="N18" s="89">
        <f t="shared" si="0"/>
        <v>1899.1599999999999</v>
      </c>
      <c r="O18" s="89">
        <f t="shared" si="0"/>
        <v>836.21</v>
      </c>
      <c r="P18" s="89">
        <f t="shared" si="0"/>
        <v>1583.2199999999998</v>
      </c>
      <c r="Q18" s="89">
        <f t="shared" si="0"/>
        <v>941.07</v>
      </c>
      <c r="R18" s="89">
        <f t="shared" si="0"/>
        <v>1692.77</v>
      </c>
      <c r="S18" s="89">
        <f t="shared" si="0"/>
        <v>913.77999999999986</v>
      </c>
      <c r="T18" s="89">
        <f t="shared" si="0"/>
        <v>600.20000000000005</v>
      </c>
      <c r="U18" s="89">
        <f t="shared" si="0"/>
        <v>740.17</v>
      </c>
      <c r="V18" s="89">
        <f t="shared" si="0"/>
        <v>1434.4699999999998</v>
      </c>
      <c r="W18" s="89">
        <f t="shared" si="0"/>
        <v>2086.06</v>
      </c>
      <c r="X18" s="89">
        <f t="shared" si="0"/>
        <v>1047.27</v>
      </c>
      <c r="Y18" s="89">
        <f t="shared" si="0"/>
        <v>1025.08</v>
      </c>
      <c r="Z18" s="102">
        <f>SUM(Z14:Z17)</f>
        <v>27338.030000000002</v>
      </c>
      <c r="AA18" s="102">
        <f>SUM(AA14:AA17)</f>
        <v>349.49</v>
      </c>
      <c r="AB18" s="94">
        <f t="shared" si="0"/>
        <v>27687.520000000004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357.49</v>
      </c>
      <c r="C20" s="39">
        <f t="shared" ref="C20:AB20" si="1">SUM(C11,C18)</f>
        <v>2087.0700000000002</v>
      </c>
      <c r="D20" s="39">
        <f t="shared" si="1"/>
        <v>931.11999999999989</v>
      </c>
      <c r="E20" s="39">
        <f t="shared" si="1"/>
        <v>862.62</v>
      </c>
      <c r="F20" s="39">
        <f t="shared" si="1"/>
        <v>543.36</v>
      </c>
      <c r="G20" s="39">
        <f t="shared" si="1"/>
        <v>838.11</v>
      </c>
      <c r="H20" s="39">
        <f t="shared" si="1"/>
        <v>1924.92</v>
      </c>
      <c r="I20" s="39">
        <f t="shared" si="1"/>
        <v>541.51</v>
      </c>
      <c r="J20" s="39">
        <f t="shared" si="1"/>
        <v>1364.89</v>
      </c>
      <c r="K20" s="39">
        <f t="shared" si="1"/>
        <v>602.84</v>
      </c>
      <c r="L20" s="39">
        <f t="shared" si="1"/>
        <v>1017.34</v>
      </c>
      <c r="M20" s="39">
        <f t="shared" si="1"/>
        <v>1467.3000000000002</v>
      </c>
      <c r="N20" s="39">
        <f t="shared" si="1"/>
        <v>1899.1599999999999</v>
      </c>
      <c r="O20" s="39">
        <f t="shared" si="1"/>
        <v>836.21</v>
      </c>
      <c r="P20" s="39">
        <f t="shared" si="1"/>
        <v>1583.2199999999998</v>
      </c>
      <c r="Q20" s="39">
        <f t="shared" si="1"/>
        <v>941.07</v>
      </c>
      <c r="R20" s="39">
        <f t="shared" si="1"/>
        <v>1692.77</v>
      </c>
      <c r="S20" s="39">
        <f t="shared" si="1"/>
        <v>913.77999999999986</v>
      </c>
      <c r="T20" s="39">
        <f t="shared" si="1"/>
        <v>600.20000000000005</v>
      </c>
      <c r="U20" s="39">
        <f t="shared" si="1"/>
        <v>740.17</v>
      </c>
      <c r="V20" s="39">
        <f t="shared" si="1"/>
        <v>1434.4699999999998</v>
      </c>
      <c r="W20" s="39">
        <f t="shared" si="1"/>
        <v>2086.06</v>
      </c>
      <c r="X20" s="39">
        <f t="shared" si="1"/>
        <v>1047.27</v>
      </c>
      <c r="Y20" s="39">
        <f t="shared" si="1"/>
        <v>1025.08</v>
      </c>
      <c r="Z20" s="139">
        <f>Z11+Z18</f>
        <v>987597.5</v>
      </c>
      <c r="AA20" s="143">
        <f>AA11+AA18</f>
        <v>26385.08</v>
      </c>
      <c r="AB20" s="136">
        <f t="shared" si="1"/>
        <v>1013982.5800000001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B18/1.105</f>
        <v>323.52036199095022</v>
      </c>
      <c r="C28" s="56">
        <f>C18/1.105</f>
        <v>1888.7511312217196</v>
      </c>
      <c r="D28" s="56">
        <f>D18/1.1025</f>
        <v>844.55328798185928</v>
      </c>
      <c r="E28" s="56">
        <f>E18/1.105</f>
        <v>780.65158371040729</v>
      </c>
      <c r="F28" s="56">
        <f>F18/1.0775</f>
        <v>504.27842227378198</v>
      </c>
      <c r="G28" s="56">
        <f>G18/1.0775</f>
        <v>777.82830626450129</v>
      </c>
      <c r="H28" s="56">
        <f>H18/1.0775</f>
        <v>1786.4686774941997</v>
      </c>
      <c r="I28" s="56">
        <f>I18/1.0775</f>
        <v>502.56148491879355</v>
      </c>
      <c r="J28" s="56">
        <f>J18/1.105</f>
        <v>1235.1945701357467</v>
      </c>
      <c r="K28" s="56">
        <f>K18/1.1025</f>
        <v>546.79365079365084</v>
      </c>
      <c r="L28" s="56">
        <f>L18/1.0975</f>
        <v>926.9612756264238</v>
      </c>
      <c r="M28" s="56">
        <f>M18/1.0975</f>
        <v>1336.9476082004558</v>
      </c>
      <c r="N28" s="56">
        <f>N18/1.0975</f>
        <v>1730.4419134396355</v>
      </c>
      <c r="O28" s="56">
        <f>O18/1.0925</f>
        <v>765.40961098398168</v>
      </c>
      <c r="P28" s="56">
        <f>P18/1.105</f>
        <v>1432.7782805429863</v>
      </c>
      <c r="Q28" s="56">
        <f>Q18/1.0875</f>
        <v>865.35172413793111</v>
      </c>
      <c r="R28" s="56">
        <f>R18/1.0975</f>
        <v>1542.3872437357631</v>
      </c>
      <c r="S28" s="56">
        <f>S18/1.1075</f>
        <v>825.08352144469518</v>
      </c>
      <c r="T28" s="56">
        <f>T18/1.105</f>
        <v>543.16742081447967</v>
      </c>
      <c r="U28" s="56">
        <f>U18/1.105</f>
        <v>669.83710407239812</v>
      </c>
      <c r="V28" s="56">
        <f>V18/1.1025</f>
        <v>1301.1065759637186</v>
      </c>
      <c r="W28" s="56">
        <f>W18/1.0775</f>
        <v>1936.018561484919</v>
      </c>
      <c r="X28" s="56">
        <f>X18/1.0975</f>
        <v>954.23234624145789</v>
      </c>
      <c r="Y28" s="56">
        <f>Y18/1.0875</f>
        <v>942.6022988505747</v>
      </c>
      <c r="Z28" s="127">
        <f>SUM(B28:Y28)-0.46</f>
        <v>24962.466962325034</v>
      </c>
      <c r="AA28" s="128">
        <f>AA18/1.0838-0.01</f>
        <v>322.45724487912901</v>
      </c>
      <c r="AB28" s="100">
        <f>Z28+AA28</f>
        <v>25284.924207204163</v>
      </c>
    </row>
    <row r="29" spans="1:28" ht="18" customHeight="1" thickBot="1" x14ac:dyDescent="0.3">
      <c r="A29" s="52" t="s">
        <v>63</v>
      </c>
      <c r="B29" s="56">
        <f>B18-B28</f>
        <v>33.969638009049788</v>
      </c>
      <c r="C29" s="56">
        <f t="shared" ref="C29:Y29" si="2">C18-C28</f>
        <v>198.3188687782806</v>
      </c>
      <c r="D29" s="56">
        <f t="shared" si="2"/>
        <v>86.566712018140606</v>
      </c>
      <c r="E29" s="56">
        <f t="shared" si="2"/>
        <v>81.96841628959271</v>
      </c>
      <c r="F29" s="56">
        <f t="shared" si="2"/>
        <v>39.081577726218029</v>
      </c>
      <c r="G29" s="56">
        <f t="shared" si="2"/>
        <v>60.28169373549872</v>
      </c>
      <c r="H29" s="56">
        <f t="shared" si="2"/>
        <v>138.45132250580036</v>
      </c>
      <c r="I29" s="56">
        <f t="shared" si="2"/>
        <v>38.948515081206438</v>
      </c>
      <c r="J29" s="56">
        <f t="shared" si="2"/>
        <v>129.69542986425336</v>
      </c>
      <c r="K29" s="56">
        <f t="shared" si="2"/>
        <v>56.046349206349191</v>
      </c>
      <c r="L29" s="56">
        <f t="shared" si="2"/>
        <v>90.378724373576233</v>
      </c>
      <c r="M29" s="56">
        <f t="shared" si="2"/>
        <v>130.35239179954442</v>
      </c>
      <c r="N29" s="56">
        <f t="shared" si="2"/>
        <v>168.71808656036433</v>
      </c>
      <c r="O29" s="56">
        <f t="shared" si="2"/>
        <v>70.800389016018357</v>
      </c>
      <c r="P29" s="56">
        <f t="shared" si="2"/>
        <v>150.44171945701351</v>
      </c>
      <c r="Q29" s="56">
        <f t="shared" si="2"/>
        <v>75.718275862068936</v>
      </c>
      <c r="R29" s="56">
        <f t="shared" si="2"/>
        <v>150.38275626423683</v>
      </c>
      <c r="S29" s="56">
        <f t="shared" si="2"/>
        <v>88.69647855530468</v>
      </c>
      <c r="T29" s="56">
        <f t="shared" si="2"/>
        <v>57.032579185520376</v>
      </c>
      <c r="U29" s="56">
        <f t="shared" si="2"/>
        <v>70.33289592760184</v>
      </c>
      <c r="V29" s="56">
        <f t="shared" si="2"/>
        <v>133.36342403628123</v>
      </c>
      <c r="W29" s="56">
        <f t="shared" si="2"/>
        <v>150.04143851508093</v>
      </c>
      <c r="X29" s="56">
        <f t="shared" si="2"/>
        <v>93.037653758542092</v>
      </c>
      <c r="Y29" s="56">
        <f t="shared" si="2"/>
        <v>82.477701149425229</v>
      </c>
      <c r="Z29" s="135">
        <f>SUM(B29:Y29)+0.46</f>
        <v>2375.5630376749691</v>
      </c>
      <c r="AA29" s="144">
        <f>AA18-AA28</f>
        <v>27.032755120871002</v>
      </c>
      <c r="AB29" s="100">
        <f>Z29+AA29</f>
        <v>2402.5957927958402</v>
      </c>
    </row>
    <row r="30" spans="1:28" ht="18" customHeight="1" thickBot="1" x14ac:dyDescent="0.3">
      <c r="A30" s="49"/>
      <c r="B30" s="129">
        <f>B28+B29</f>
        <v>357.49</v>
      </c>
      <c r="C30" s="129">
        <f t="shared" ref="C30:AA30" si="3">C28+C29</f>
        <v>2087.0700000000002</v>
      </c>
      <c r="D30" s="129">
        <f t="shared" si="3"/>
        <v>931.11999999999989</v>
      </c>
      <c r="E30" s="129">
        <f t="shared" si="3"/>
        <v>862.62</v>
      </c>
      <c r="F30" s="129">
        <f t="shared" si="3"/>
        <v>543.36</v>
      </c>
      <c r="G30" s="129">
        <f t="shared" si="3"/>
        <v>838.11</v>
      </c>
      <c r="H30" s="129">
        <f t="shared" si="3"/>
        <v>1924.92</v>
      </c>
      <c r="I30" s="129">
        <f t="shared" si="3"/>
        <v>541.51</v>
      </c>
      <c r="J30" s="129">
        <f t="shared" si="3"/>
        <v>1364.89</v>
      </c>
      <c r="K30" s="129">
        <f t="shared" si="3"/>
        <v>602.84</v>
      </c>
      <c r="L30" s="129">
        <f t="shared" si="3"/>
        <v>1017.34</v>
      </c>
      <c r="M30" s="129">
        <f t="shared" si="3"/>
        <v>1467.3000000000002</v>
      </c>
      <c r="N30" s="129">
        <f t="shared" si="3"/>
        <v>1899.1599999999999</v>
      </c>
      <c r="O30" s="129">
        <f t="shared" si="3"/>
        <v>836.21</v>
      </c>
      <c r="P30" s="129">
        <f t="shared" si="3"/>
        <v>1583.2199999999998</v>
      </c>
      <c r="Q30" s="129">
        <f t="shared" si="3"/>
        <v>941.07</v>
      </c>
      <c r="R30" s="129">
        <f t="shared" si="3"/>
        <v>1692.77</v>
      </c>
      <c r="S30" s="129">
        <f t="shared" si="3"/>
        <v>913.77999999999986</v>
      </c>
      <c r="T30" s="129">
        <f t="shared" si="3"/>
        <v>600.20000000000005</v>
      </c>
      <c r="U30" s="129">
        <f t="shared" si="3"/>
        <v>740.17</v>
      </c>
      <c r="V30" s="129">
        <f t="shared" si="3"/>
        <v>1434.4699999999998</v>
      </c>
      <c r="W30" s="129">
        <f t="shared" si="3"/>
        <v>2086.06</v>
      </c>
      <c r="X30" s="129">
        <f t="shared" si="3"/>
        <v>1047.27</v>
      </c>
      <c r="Y30" s="129">
        <f t="shared" si="3"/>
        <v>1025.08</v>
      </c>
      <c r="Z30" s="130">
        <f>Z28+Z29</f>
        <v>27338.030000000002</v>
      </c>
      <c r="AA30" s="131">
        <f t="shared" si="3"/>
        <v>349.49</v>
      </c>
      <c r="AB30" s="132">
        <f>SUM(AB28:AB29)</f>
        <v>27687.520000000004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1011579.9842072042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1936.018561484919</v>
      </c>
      <c r="C38" s="71">
        <f>X28</f>
        <v>954.23234624145789</v>
      </c>
      <c r="D38" s="72">
        <f>Q28</f>
        <v>865.35172413793111</v>
      </c>
      <c r="E38" s="72">
        <f>S28</f>
        <v>825.08352144469518</v>
      </c>
      <c r="F38" s="72">
        <f>L28+M28+N28+R28+X28</f>
        <v>6490.9703872437358</v>
      </c>
      <c r="G38" s="72">
        <f>P28</f>
        <v>1432.7782805429863</v>
      </c>
      <c r="H38" s="72">
        <f>T28</f>
        <v>543.16742081447967</v>
      </c>
      <c r="I38" s="72">
        <f>V28</f>
        <v>1301.1065759637186</v>
      </c>
      <c r="J38" s="72">
        <f>C28</f>
        <v>1888.7511312217196</v>
      </c>
      <c r="K38" s="72">
        <f>O28</f>
        <v>765.40961098398168</v>
      </c>
      <c r="L38" s="72">
        <f>J28</f>
        <v>1235.1945701357467</v>
      </c>
      <c r="M38" s="72">
        <f>B28+E28</f>
        <v>1104.1719457013576</v>
      </c>
      <c r="N38" s="72">
        <f>U28</f>
        <v>669.83710407239812</v>
      </c>
      <c r="O38" s="73">
        <f>D28+K28</f>
        <v>1391.3469387755101</v>
      </c>
      <c r="P38" s="72">
        <f>Y28</f>
        <v>942.6022988505747</v>
      </c>
      <c r="Q38" s="118">
        <f>SUM(B38:P38)</f>
        <v>22346.022417615215</v>
      </c>
      <c r="R38" s="42">
        <f>AA28</f>
        <v>322.45724487912901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150.04143851508121</v>
      </c>
      <c r="C40" s="80">
        <f t="shared" ref="C40:P40" si="4">C38*C39</f>
        <v>73.95300683371299</v>
      </c>
      <c r="D40" s="80">
        <f t="shared" si="4"/>
        <v>75.718275862068964</v>
      </c>
      <c r="E40" s="80">
        <f t="shared" si="4"/>
        <v>88.696478555304736</v>
      </c>
      <c r="F40" s="80">
        <f t="shared" si="4"/>
        <v>632.86961275626425</v>
      </c>
      <c r="G40" s="80">
        <f t="shared" si="4"/>
        <v>150.44171945701356</v>
      </c>
      <c r="H40" s="80">
        <f t="shared" si="4"/>
        <v>57.032579185520362</v>
      </c>
      <c r="I40" s="80">
        <f t="shared" si="4"/>
        <v>133.36342403628115</v>
      </c>
      <c r="J40" s="80">
        <f t="shared" si="4"/>
        <v>198.31886877828055</v>
      </c>
      <c r="K40" s="80">
        <f t="shared" si="4"/>
        <v>70.8003890160183</v>
      </c>
      <c r="L40" s="80">
        <f t="shared" si="4"/>
        <v>129.69542986425341</v>
      </c>
      <c r="M40" s="80">
        <f t="shared" si="4"/>
        <v>115.93805429864254</v>
      </c>
      <c r="N40" s="80">
        <f t="shared" si="4"/>
        <v>70.332895927601797</v>
      </c>
      <c r="O40" s="81">
        <f t="shared" si="4"/>
        <v>142.61306122448977</v>
      </c>
      <c r="P40" s="80">
        <f t="shared" si="4"/>
        <v>82.477701149425286</v>
      </c>
      <c r="Q40" s="138">
        <f>SUM(B40:P40)</f>
        <v>2172.2929354599587</v>
      </c>
      <c r="R40" s="137">
        <f>R38*R39</f>
        <v>27.021917120871009</v>
      </c>
    </row>
    <row r="41" spans="1:28" ht="18" customHeight="1" thickBot="1" x14ac:dyDescent="0.3">
      <c r="A41" s="49" t="s">
        <v>4</v>
      </c>
      <c r="B41" s="82">
        <f>B38+B40</f>
        <v>2086.0600000000004</v>
      </c>
      <c r="C41" s="83">
        <f t="shared" ref="C41:R41" si="5">C38+C40</f>
        <v>1028.185353075171</v>
      </c>
      <c r="D41" s="83">
        <f t="shared" si="5"/>
        <v>941.07</v>
      </c>
      <c r="E41" s="83">
        <f t="shared" si="5"/>
        <v>913.78</v>
      </c>
      <c r="F41" s="83">
        <f t="shared" si="5"/>
        <v>7123.84</v>
      </c>
      <c r="G41" s="83">
        <f t="shared" si="5"/>
        <v>1583.2199999999998</v>
      </c>
      <c r="H41" s="83">
        <f t="shared" si="5"/>
        <v>600.20000000000005</v>
      </c>
      <c r="I41" s="83">
        <f t="shared" si="5"/>
        <v>1434.4699999999998</v>
      </c>
      <c r="J41" s="83">
        <f t="shared" si="5"/>
        <v>2087.0700000000002</v>
      </c>
      <c r="K41" s="83">
        <f t="shared" si="5"/>
        <v>836.21</v>
      </c>
      <c r="L41" s="83">
        <f t="shared" si="5"/>
        <v>1364.89</v>
      </c>
      <c r="M41" s="83">
        <f t="shared" si="5"/>
        <v>1220.1100000000001</v>
      </c>
      <c r="N41" s="83">
        <f t="shared" si="5"/>
        <v>740.17</v>
      </c>
      <c r="O41" s="84">
        <f t="shared" si="5"/>
        <v>1533.9599999999998</v>
      </c>
      <c r="P41" s="83">
        <f t="shared" si="5"/>
        <v>1025.08</v>
      </c>
      <c r="Q41" s="120">
        <f>SUM(B41:P41)</f>
        <v>24518.315353075166</v>
      </c>
      <c r="R41" s="85">
        <f t="shared" si="5"/>
        <v>349.47916200000003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4C24E-7144-4256-B7DC-F4133E35E321}">
  <sheetPr>
    <tabColor theme="1"/>
    <pageSetUpPr fitToPage="1"/>
  </sheetPr>
  <dimension ref="A1:AB41"/>
  <sheetViews>
    <sheetView zoomScale="90" zoomScaleNormal="90" workbookViewId="0">
      <selection activeCell="B28" sqref="B28"/>
    </sheetView>
  </sheetViews>
  <sheetFormatPr defaultColWidth="11.140625" defaultRowHeight="18" customHeight="1" x14ac:dyDescent="0.25"/>
  <cols>
    <col min="1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95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1106.05</v>
      </c>
      <c r="C7" s="36">
        <v>65207.09</v>
      </c>
      <c r="D7" s="36">
        <v>45925.64</v>
      </c>
      <c r="E7" s="36">
        <v>49449.96</v>
      </c>
      <c r="F7" s="36">
        <v>39193.15</v>
      </c>
      <c r="G7" s="36">
        <v>18970.060000000001</v>
      </c>
      <c r="H7" s="36">
        <v>36479.019999999997</v>
      </c>
      <c r="I7" s="36">
        <v>24078.240000000002</v>
      </c>
      <c r="J7" s="36">
        <v>45590.45</v>
      </c>
      <c r="K7" s="36">
        <v>20109.66</v>
      </c>
      <c r="L7" s="36">
        <v>27602.6</v>
      </c>
      <c r="M7" s="36">
        <v>46292.61</v>
      </c>
      <c r="N7" s="36">
        <v>64501.86</v>
      </c>
      <c r="O7" s="36">
        <v>41123.730000000003</v>
      </c>
      <c r="P7" s="36">
        <v>48004.79</v>
      </c>
      <c r="Q7" s="36">
        <v>31673.19</v>
      </c>
      <c r="R7" s="36">
        <v>46483.9</v>
      </c>
      <c r="S7" s="36">
        <v>45440.53</v>
      </c>
      <c r="T7" s="36">
        <v>34329.550000000003</v>
      </c>
      <c r="U7" s="36">
        <v>29985.79</v>
      </c>
      <c r="V7" s="36">
        <v>41051.760000000002</v>
      </c>
      <c r="W7" s="36">
        <v>40099.03</v>
      </c>
      <c r="X7" s="36">
        <v>32233</v>
      </c>
      <c r="Y7" s="36">
        <v>23900.02</v>
      </c>
      <c r="Z7" s="101">
        <f>SUM(B7:Y7)</f>
        <v>898831.68</v>
      </c>
      <c r="AA7" s="109">
        <v>21522.46</v>
      </c>
      <c r="AB7" s="93">
        <f>Z7+AA7</f>
        <v>920354.14</v>
      </c>
    </row>
    <row r="8" spans="1:28" ht="17.25" customHeight="1" x14ac:dyDescent="0.25">
      <c r="A8" s="35" t="s">
        <v>6</v>
      </c>
      <c r="B8" s="36">
        <v>0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101">
        <f>SUM(B8:Y8)</f>
        <v>0</v>
      </c>
      <c r="AA8" s="109">
        <v>0</v>
      </c>
      <c r="AB8" s="93">
        <f>Z8+AA8</f>
        <v>0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389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101">
        <f>SUM(B9:Y9)</f>
        <v>389</v>
      </c>
      <c r="AA9" s="109">
        <v>35.4</v>
      </c>
      <c r="AB9" s="93">
        <f>Z9+AA9</f>
        <v>424.4</v>
      </c>
    </row>
    <row r="10" spans="1:28" ht="18" customHeight="1" thickBot="1" x14ac:dyDescent="0.3">
      <c r="A10" s="35" t="s">
        <v>7</v>
      </c>
      <c r="B10" s="36">
        <v>0</v>
      </c>
      <c r="C10" s="36">
        <v>0.27</v>
      </c>
      <c r="D10" s="36">
        <v>0.19</v>
      </c>
      <c r="E10" s="36">
        <v>0.1</v>
      </c>
      <c r="F10" s="36">
        <v>0.14000000000000001</v>
      </c>
      <c r="G10" s="36">
        <v>0.13</v>
      </c>
      <c r="H10" s="36">
        <v>0.11</v>
      </c>
      <c r="I10" s="36">
        <v>0.13</v>
      </c>
      <c r="J10" s="36">
        <v>0.14000000000000001</v>
      </c>
      <c r="K10" s="36">
        <v>0.08</v>
      </c>
      <c r="L10" s="36">
        <v>0.16</v>
      </c>
      <c r="M10" s="36">
        <v>0.11</v>
      </c>
      <c r="N10" s="36">
        <v>0.46</v>
      </c>
      <c r="O10" s="36">
        <v>0.17</v>
      </c>
      <c r="P10" s="36">
        <v>0.21</v>
      </c>
      <c r="Q10" s="36">
        <v>0.2</v>
      </c>
      <c r="R10" s="36">
        <v>0.39</v>
      </c>
      <c r="S10" s="36">
        <v>0.14000000000000001</v>
      </c>
      <c r="T10" s="36">
        <v>0.13</v>
      </c>
      <c r="U10" s="36">
        <v>0.06</v>
      </c>
      <c r="V10" s="36">
        <v>0.1</v>
      </c>
      <c r="W10" s="36">
        <v>0.14000000000000001</v>
      </c>
      <c r="X10" s="36">
        <v>0.12</v>
      </c>
      <c r="Y10" s="36">
        <v>0.1</v>
      </c>
      <c r="Z10" s="101">
        <f>SUM(B10:Y10)</f>
        <v>3.7800000000000007</v>
      </c>
      <c r="AA10" s="109">
        <v>7.0000000000000007E-2</v>
      </c>
      <c r="AB10" s="93">
        <f>Z10+AA10</f>
        <v>3.8500000000000005</v>
      </c>
    </row>
    <row r="11" spans="1:28" ht="18" customHeight="1" thickBot="1" x14ac:dyDescent="0.3">
      <c r="A11" s="49" t="s">
        <v>19</v>
      </c>
      <c r="B11" s="89">
        <v>0</v>
      </c>
      <c r="C11" s="89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140">
        <f>SUM(Z7:Z10)</f>
        <v>899224.46000000008</v>
      </c>
      <c r="AA11" s="141">
        <f>SUM(AA7:AA10)</f>
        <v>21557.93</v>
      </c>
      <c r="AB11" s="142">
        <f>SUM(AB7:AB10)</f>
        <v>920782.39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101">
        <f>SUM(B14:Y14)</f>
        <v>0</v>
      </c>
      <c r="AA14" s="109">
        <v>0</v>
      </c>
      <c r="AB14" s="93">
        <f>Z14+AA14</f>
        <v>0</v>
      </c>
    </row>
    <row r="15" spans="1:28" ht="18" customHeight="1" x14ac:dyDescent="0.25">
      <c r="A15" s="35" t="s">
        <v>8</v>
      </c>
      <c r="B15" s="36">
        <v>0</v>
      </c>
      <c r="C15" s="36">
        <v>1586.77</v>
      </c>
      <c r="D15" s="36">
        <v>677.53</v>
      </c>
      <c r="E15" s="36">
        <v>847.75</v>
      </c>
      <c r="F15" s="36">
        <v>333.57</v>
      </c>
      <c r="G15" s="36">
        <v>790.82</v>
      </c>
      <c r="H15" s="36">
        <v>341.48</v>
      </c>
      <c r="I15" s="36">
        <v>177.49</v>
      </c>
      <c r="J15" s="36">
        <v>1290.3599999999999</v>
      </c>
      <c r="K15" s="36">
        <v>0</v>
      </c>
      <c r="L15" s="36">
        <v>687.21</v>
      </c>
      <c r="M15" s="36">
        <v>1332.51</v>
      </c>
      <c r="N15" s="36">
        <v>7595.35</v>
      </c>
      <c r="O15" s="36">
        <v>155.88</v>
      </c>
      <c r="P15" s="36">
        <v>2088.66</v>
      </c>
      <c r="Q15" s="36">
        <v>105.21</v>
      </c>
      <c r="R15" s="36">
        <v>96.92</v>
      </c>
      <c r="S15" s="36">
        <v>6564.68</v>
      </c>
      <c r="T15" s="36">
        <v>642.16</v>
      </c>
      <c r="U15" s="36">
        <v>223.78</v>
      </c>
      <c r="V15" s="36">
        <v>835.88</v>
      </c>
      <c r="W15" s="36">
        <v>471.01</v>
      </c>
      <c r="X15" s="36">
        <v>1012.31</v>
      </c>
      <c r="Y15" s="36">
        <v>357.58</v>
      </c>
      <c r="Z15" s="101">
        <f>SUM(B15:Y15)</f>
        <v>28214.909999999996</v>
      </c>
      <c r="AA15" s="109">
        <v>823.78</v>
      </c>
      <c r="AB15" s="93">
        <f>Z15+AA15</f>
        <v>29038.689999999995</v>
      </c>
    </row>
    <row r="16" spans="1:28" ht="18" customHeight="1" x14ac:dyDescent="0.25">
      <c r="A16" s="35" t="s">
        <v>13</v>
      </c>
      <c r="B16" s="36">
        <v>0</v>
      </c>
      <c r="C16" s="36">
        <v>0</v>
      </c>
      <c r="D16" s="36">
        <v>99.89</v>
      </c>
      <c r="E16" s="36">
        <v>0</v>
      </c>
      <c r="F16" s="36">
        <v>19.52</v>
      </c>
      <c r="G16" s="36">
        <v>19.52</v>
      </c>
      <c r="H16" s="36">
        <v>124.45</v>
      </c>
      <c r="I16" s="36">
        <v>48.81</v>
      </c>
      <c r="J16" s="36">
        <v>120.14</v>
      </c>
      <c r="K16" s="36">
        <v>0</v>
      </c>
      <c r="L16" s="36">
        <v>39.78</v>
      </c>
      <c r="M16" s="36">
        <v>50.7</v>
      </c>
      <c r="N16" s="36">
        <v>65.13</v>
      </c>
      <c r="O16" s="36">
        <v>37.86</v>
      </c>
      <c r="P16" s="36">
        <v>0</v>
      </c>
      <c r="Q16" s="36">
        <v>0</v>
      </c>
      <c r="R16" s="36">
        <v>156.59</v>
      </c>
      <c r="S16" s="36">
        <v>30.1</v>
      </c>
      <c r="T16" s="36">
        <v>60.07</v>
      </c>
      <c r="U16" s="36">
        <v>40.049999999999997</v>
      </c>
      <c r="V16" s="36">
        <v>49.94</v>
      </c>
      <c r="W16" s="36">
        <v>172.29</v>
      </c>
      <c r="X16" s="36">
        <v>59.66</v>
      </c>
      <c r="Y16" s="36">
        <v>0</v>
      </c>
      <c r="Z16" s="101">
        <f>SUM(B16:Y16)</f>
        <v>1194.5000000000002</v>
      </c>
      <c r="AA16" s="109">
        <v>0</v>
      </c>
      <c r="AB16" s="93">
        <f>Z16+AA16</f>
        <v>1194.5000000000002</v>
      </c>
    </row>
    <row r="17" spans="1:28" ht="18" customHeight="1" thickBot="1" x14ac:dyDescent="0.3">
      <c r="A17" s="35" t="s">
        <v>22</v>
      </c>
      <c r="B17" s="36">
        <v>0</v>
      </c>
      <c r="C17" s="36">
        <v>787.28</v>
      </c>
      <c r="D17" s="36">
        <v>244.63</v>
      </c>
      <c r="E17" s="36">
        <v>245.17</v>
      </c>
      <c r="F17" s="36">
        <v>166.69</v>
      </c>
      <c r="G17" s="36">
        <v>326.70999999999998</v>
      </c>
      <c r="H17" s="36">
        <v>166.69</v>
      </c>
      <c r="I17" s="36">
        <v>166.69</v>
      </c>
      <c r="J17" s="36">
        <v>170.94</v>
      </c>
      <c r="K17" s="36">
        <v>170.56</v>
      </c>
      <c r="L17" s="36">
        <v>339.56</v>
      </c>
      <c r="M17" s="36">
        <v>339.56</v>
      </c>
      <c r="N17" s="36">
        <v>169.78</v>
      </c>
      <c r="O17" s="36">
        <v>331.26</v>
      </c>
      <c r="P17" s="36">
        <v>170.94</v>
      </c>
      <c r="Q17" s="36">
        <v>336.48</v>
      </c>
      <c r="R17" s="36">
        <v>784.81</v>
      </c>
      <c r="S17" s="36">
        <v>245.73</v>
      </c>
      <c r="T17" s="36">
        <v>170.94</v>
      </c>
      <c r="U17" s="36">
        <v>341.88</v>
      </c>
      <c r="V17" s="36">
        <v>0</v>
      </c>
      <c r="W17" s="36">
        <v>326.70999999999998</v>
      </c>
      <c r="X17" s="36">
        <v>169.78</v>
      </c>
      <c r="Y17" s="36">
        <v>168.24</v>
      </c>
      <c r="Z17" s="101">
        <f>SUM(B17:Y17)</f>
        <v>6341.0299999999988</v>
      </c>
      <c r="AA17" s="109">
        <v>335.32</v>
      </c>
      <c r="AB17" s="93">
        <f>Z17+AA17</f>
        <v>6676.3499999999985</v>
      </c>
    </row>
    <row r="18" spans="1:28" ht="18" customHeight="1" thickBot="1" x14ac:dyDescent="0.3">
      <c r="A18" s="85" t="s">
        <v>20</v>
      </c>
      <c r="B18" s="89">
        <f>SUM(B14:B17)</f>
        <v>0</v>
      </c>
      <c r="C18" s="89">
        <f t="shared" ref="C18:AB18" si="0">SUM(C14:C17)</f>
        <v>2374.0500000000002</v>
      </c>
      <c r="D18" s="89">
        <f t="shared" si="0"/>
        <v>1022.05</v>
      </c>
      <c r="E18" s="89">
        <f t="shared" si="0"/>
        <v>1092.92</v>
      </c>
      <c r="F18" s="89">
        <f t="shared" si="0"/>
        <v>519.78</v>
      </c>
      <c r="G18" s="89">
        <f t="shared" si="0"/>
        <v>1137.05</v>
      </c>
      <c r="H18" s="89">
        <f t="shared" si="0"/>
        <v>632.62</v>
      </c>
      <c r="I18" s="89">
        <f t="shared" si="0"/>
        <v>392.99</v>
      </c>
      <c r="J18" s="89">
        <f t="shared" si="0"/>
        <v>1581.44</v>
      </c>
      <c r="K18" s="89">
        <f t="shared" si="0"/>
        <v>170.56</v>
      </c>
      <c r="L18" s="89">
        <f t="shared" si="0"/>
        <v>1066.55</v>
      </c>
      <c r="M18" s="89">
        <f t="shared" si="0"/>
        <v>1722.77</v>
      </c>
      <c r="N18" s="89">
        <f t="shared" si="0"/>
        <v>7830.26</v>
      </c>
      <c r="O18" s="89">
        <f t="shared" si="0"/>
        <v>525</v>
      </c>
      <c r="P18" s="89">
        <f t="shared" si="0"/>
        <v>2259.6</v>
      </c>
      <c r="Q18" s="89">
        <f t="shared" si="0"/>
        <v>441.69</v>
      </c>
      <c r="R18" s="89">
        <f t="shared" si="0"/>
        <v>1038.32</v>
      </c>
      <c r="S18" s="89">
        <f t="shared" si="0"/>
        <v>6840.51</v>
      </c>
      <c r="T18" s="89">
        <f t="shared" si="0"/>
        <v>873.17000000000007</v>
      </c>
      <c r="U18" s="89">
        <f t="shared" si="0"/>
        <v>605.71</v>
      </c>
      <c r="V18" s="89">
        <f t="shared" si="0"/>
        <v>885.81999999999994</v>
      </c>
      <c r="W18" s="89">
        <f t="shared" si="0"/>
        <v>970.01</v>
      </c>
      <c r="X18" s="89">
        <f t="shared" si="0"/>
        <v>1241.75</v>
      </c>
      <c r="Y18" s="89">
        <f t="shared" si="0"/>
        <v>525.81999999999994</v>
      </c>
      <c r="Z18" s="102">
        <f>SUM(Z14:Z17)</f>
        <v>35750.439999999995</v>
      </c>
      <c r="AA18" s="102">
        <f>SUM(AA14:AA17)</f>
        <v>1159.0999999999999</v>
      </c>
      <c r="AB18" s="94">
        <f t="shared" si="0"/>
        <v>36909.539999999994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0</v>
      </c>
      <c r="C20" s="39">
        <f t="shared" ref="C20:AB20" si="1">SUM(C11,C18)</f>
        <v>2374.0500000000002</v>
      </c>
      <c r="D20" s="39">
        <f t="shared" si="1"/>
        <v>1022.05</v>
      </c>
      <c r="E20" s="39">
        <f t="shared" si="1"/>
        <v>1092.92</v>
      </c>
      <c r="F20" s="39">
        <f t="shared" si="1"/>
        <v>519.78</v>
      </c>
      <c r="G20" s="39">
        <f t="shared" si="1"/>
        <v>1137.05</v>
      </c>
      <c r="H20" s="39">
        <f t="shared" si="1"/>
        <v>632.62</v>
      </c>
      <c r="I20" s="39">
        <f t="shared" si="1"/>
        <v>392.99</v>
      </c>
      <c r="J20" s="39">
        <f t="shared" si="1"/>
        <v>1581.44</v>
      </c>
      <c r="K20" s="39">
        <f t="shared" si="1"/>
        <v>170.56</v>
      </c>
      <c r="L20" s="39">
        <f t="shared" si="1"/>
        <v>1066.55</v>
      </c>
      <c r="M20" s="39">
        <f t="shared" si="1"/>
        <v>1722.77</v>
      </c>
      <c r="N20" s="39">
        <f t="shared" si="1"/>
        <v>7830.26</v>
      </c>
      <c r="O20" s="39">
        <f t="shared" si="1"/>
        <v>525</v>
      </c>
      <c r="P20" s="39">
        <f t="shared" si="1"/>
        <v>2259.6</v>
      </c>
      <c r="Q20" s="39">
        <f t="shared" si="1"/>
        <v>441.69</v>
      </c>
      <c r="R20" s="39">
        <f t="shared" si="1"/>
        <v>1038.32</v>
      </c>
      <c r="S20" s="39">
        <f t="shared" si="1"/>
        <v>6840.51</v>
      </c>
      <c r="T20" s="39">
        <f t="shared" si="1"/>
        <v>873.17000000000007</v>
      </c>
      <c r="U20" s="39">
        <f t="shared" si="1"/>
        <v>605.71</v>
      </c>
      <c r="V20" s="39">
        <f t="shared" si="1"/>
        <v>885.81999999999994</v>
      </c>
      <c r="W20" s="39">
        <f t="shared" si="1"/>
        <v>970.01</v>
      </c>
      <c r="X20" s="39">
        <f t="shared" si="1"/>
        <v>1241.75</v>
      </c>
      <c r="Y20" s="39">
        <f t="shared" si="1"/>
        <v>525.81999999999994</v>
      </c>
      <c r="Z20" s="139">
        <f>Z11+Z18</f>
        <v>934974.9</v>
      </c>
      <c r="AA20" s="143">
        <f>AA11+AA18</f>
        <v>22717.03</v>
      </c>
      <c r="AB20" s="136">
        <f t="shared" si="1"/>
        <v>957691.93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B18/1.105</f>
        <v>0</v>
      </c>
      <c r="C28" s="56">
        <f>C18/1.105</f>
        <v>2148.4615384615386</v>
      </c>
      <c r="D28" s="56">
        <f>D18/1.1025</f>
        <v>927.02947845804977</v>
      </c>
      <c r="E28" s="56">
        <f>E18/1.105</f>
        <v>989.06787330316752</v>
      </c>
      <c r="F28" s="56">
        <f>F18/1.0775</f>
        <v>482.39443155452437</v>
      </c>
      <c r="G28" s="56">
        <f>G18/1.0775</f>
        <v>1055.2668213457077</v>
      </c>
      <c r="H28" s="56">
        <f>H18/1.0775</f>
        <v>587.11832946635741</v>
      </c>
      <c r="I28" s="56">
        <f>I18/1.0775</f>
        <v>364.72389791183298</v>
      </c>
      <c r="J28" s="56">
        <f>J18/1.105</f>
        <v>1431.1674208144798</v>
      </c>
      <c r="K28" s="56">
        <f>K18/1.1025</f>
        <v>154.702947845805</v>
      </c>
      <c r="L28" s="56">
        <f>L18/1.0975</f>
        <v>971.79954441913446</v>
      </c>
      <c r="M28" s="56">
        <f>M18/1.0975</f>
        <v>1569.7220956719818</v>
      </c>
      <c r="N28" s="56">
        <f>N18/1.0975</f>
        <v>7134.6332574031894</v>
      </c>
      <c r="O28" s="56">
        <f>O18/1.0925</f>
        <v>480.5491990846682</v>
      </c>
      <c r="P28" s="56">
        <f>P18/1.105</f>
        <v>2044.8868778280541</v>
      </c>
      <c r="Q28" s="56">
        <f>Q18/1.0875</f>
        <v>406.15172413793107</v>
      </c>
      <c r="R28" s="56">
        <f>R18/1.0975</f>
        <v>946.07744874715263</v>
      </c>
      <c r="S28" s="56">
        <f>S18/1.1075</f>
        <v>6176.5327313769758</v>
      </c>
      <c r="T28" s="56">
        <f>T18/1.105</f>
        <v>790.19909502262453</v>
      </c>
      <c r="U28" s="56">
        <f>U18/1.105</f>
        <v>548.15384615384619</v>
      </c>
      <c r="V28" s="56">
        <f>V18/1.1025</f>
        <v>803.46485260770964</v>
      </c>
      <c r="W28" s="56">
        <f>W18/1.0775</f>
        <v>900.2412993039444</v>
      </c>
      <c r="X28" s="56">
        <f>X18/1.0975</f>
        <v>1131.4350797266516</v>
      </c>
      <c r="Y28" s="56">
        <f>Y18/1.0875</f>
        <v>483.51264367816088</v>
      </c>
      <c r="Z28" s="127">
        <f>SUM(B28:Y28)-0.5</f>
        <v>32526.792434323492</v>
      </c>
      <c r="AA28" s="128">
        <f>AA18/1.0838-0.03</f>
        <v>1069.4477634249861</v>
      </c>
      <c r="AB28" s="100">
        <f>Z28+AA28</f>
        <v>33596.240197748477</v>
      </c>
    </row>
    <row r="29" spans="1:28" ht="18" customHeight="1" thickBot="1" x14ac:dyDescent="0.3">
      <c r="A29" s="52" t="s">
        <v>63</v>
      </c>
      <c r="B29" s="56">
        <f>B18-B28</f>
        <v>0</v>
      </c>
      <c r="C29" s="56">
        <f t="shared" ref="C29:Y29" si="2">C18-C28</f>
        <v>225.58846153846162</v>
      </c>
      <c r="D29" s="56">
        <f t="shared" si="2"/>
        <v>95.020521541950188</v>
      </c>
      <c r="E29" s="56">
        <f t="shared" si="2"/>
        <v>103.85212669683256</v>
      </c>
      <c r="F29" s="56">
        <f t="shared" si="2"/>
        <v>37.385568445475599</v>
      </c>
      <c r="G29" s="56">
        <f t="shared" si="2"/>
        <v>81.783178654292215</v>
      </c>
      <c r="H29" s="56">
        <f t="shared" si="2"/>
        <v>45.501670533642596</v>
      </c>
      <c r="I29" s="56">
        <f t="shared" si="2"/>
        <v>28.266102088167031</v>
      </c>
      <c r="J29" s="56">
        <f t="shared" si="2"/>
        <v>150.27257918552027</v>
      </c>
      <c r="K29" s="56">
        <f t="shared" si="2"/>
        <v>15.857052154195003</v>
      </c>
      <c r="L29" s="56">
        <f t="shared" si="2"/>
        <v>94.750455580865491</v>
      </c>
      <c r="M29" s="56">
        <f t="shared" si="2"/>
        <v>153.04790432801815</v>
      </c>
      <c r="N29" s="56">
        <f t="shared" si="2"/>
        <v>695.6267425968108</v>
      </c>
      <c r="O29" s="56">
        <f t="shared" si="2"/>
        <v>44.450800915331797</v>
      </c>
      <c r="P29" s="56">
        <f t="shared" si="2"/>
        <v>214.71312217194577</v>
      </c>
      <c r="Q29" s="56">
        <f t="shared" si="2"/>
        <v>35.538275862068929</v>
      </c>
      <c r="R29" s="56">
        <f t="shared" si="2"/>
        <v>92.242551252847306</v>
      </c>
      <c r="S29" s="56">
        <f t="shared" si="2"/>
        <v>663.97726862302443</v>
      </c>
      <c r="T29" s="56">
        <f t="shared" si="2"/>
        <v>82.97090497737554</v>
      </c>
      <c r="U29" s="56">
        <f t="shared" si="2"/>
        <v>57.556153846153848</v>
      </c>
      <c r="V29" s="56">
        <f t="shared" si="2"/>
        <v>82.355147392290291</v>
      </c>
      <c r="W29" s="56">
        <f t="shared" si="2"/>
        <v>69.768700696055589</v>
      </c>
      <c r="X29" s="56">
        <f t="shared" si="2"/>
        <v>110.31492027334843</v>
      </c>
      <c r="Y29" s="56">
        <f t="shared" si="2"/>
        <v>42.307356321839052</v>
      </c>
      <c r="Z29" s="135">
        <f>SUM(B29:Y29)+0.5</f>
        <v>3223.6475656765124</v>
      </c>
      <c r="AA29" s="144">
        <f>AA18-AA28</f>
        <v>89.652236575013831</v>
      </c>
      <c r="AB29" s="100">
        <f>Z29+AA29</f>
        <v>3313.2998022515262</v>
      </c>
    </row>
    <row r="30" spans="1:28" ht="18" customHeight="1" thickBot="1" x14ac:dyDescent="0.3">
      <c r="A30" s="49"/>
      <c r="B30" s="129">
        <f>B28+B29</f>
        <v>0</v>
      </c>
      <c r="C30" s="129">
        <f t="shared" ref="C30:AA30" si="3">C28+C29</f>
        <v>2374.0500000000002</v>
      </c>
      <c r="D30" s="129">
        <f t="shared" si="3"/>
        <v>1022.05</v>
      </c>
      <c r="E30" s="129">
        <f t="shared" si="3"/>
        <v>1092.92</v>
      </c>
      <c r="F30" s="129">
        <f t="shared" si="3"/>
        <v>519.78</v>
      </c>
      <c r="G30" s="129">
        <f t="shared" si="3"/>
        <v>1137.05</v>
      </c>
      <c r="H30" s="129">
        <f t="shared" si="3"/>
        <v>632.62</v>
      </c>
      <c r="I30" s="129">
        <f t="shared" si="3"/>
        <v>392.99</v>
      </c>
      <c r="J30" s="129">
        <f t="shared" si="3"/>
        <v>1581.44</v>
      </c>
      <c r="K30" s="129">
        <f t="shared" si="3"/>
        <v>170.56</v>
      </c>
      <c r="L30" s="129">
        <f t="shared" si="3"/>
        <v>1066.55</v>
      </c>
      <c r="M30" s="129">
        <f t="shared" si="3"/>
        <v>1722.77</v>
      </c>
      <c r="N30" s="129">
        <f t="shared" si="3"/>
        <v>7830.26</v>
      </c>
      <c r="O30" s="129">
        <f t="shared" si="3"/>
        <v>525</v>
      </c>
      <c r="P30" s="129">
        <f t="shared" si="3"/>
        <v>2259.6</v>
      </c>
      <c r="Q30" s="129">
        <f t="shared" si="3"/>
        <v>441.69</v>
      </c>
      <c r="R30" s="129">
        <f t="shared" si="3"/>
        <v>1038.32</v>
      </c>
      <c r="S30" s="129">
        <f t="shared" si="3"/>
        <v>6840.51</v>
      </c>
      <c r="T30" s="129">
        <f t="shared" si="3"/>
        <v>873.17000000000007</v>
      </c>
      <c r="U30" s="129">
        <f t="shared" si="3"/>
        <v>605.71</v>
      </c>
      <c r="V30" s="129">
        <f t="shared" si="3"/>
        <v>885.81999999999994</v>
      </c>
      <c r="W30" s="129">
        <f t="shared" si="3"/>
        <v>970.01</v>
      </c>
      <c r="X30" s="129">
        <f t="shared" si="3"/>
        <v>1241.75</v>
      </c>
      <c r="Y30" s="129">
        <f t="shared" si="3"/>
        <v>525.81999999999994</v>
      </c>
      <c r="Z30" s="130">
        <f>Z28+Z29</f>
        <v>35750.44</v>
      </c>
      <c r="AA30" s="131">
        <f t="shared" si="3"/>
        <v>1159.0999999999999</v>
      </c>
      <c r="AB30" s="132">
        <f>SUM(AB28:AB29)</f>
        <v>36909.54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954378.63019774854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900.2412993039444</v>
      </c>
      <c r="C38" s="71">
        <f>X28</f>
        <v>1131.4350797266516</v>
      </c>
      <c r="D38" s="72">
        <f>Q28</f>
        <v>406.15172413793107</v>
      </c>
      <c r="E38" s="72">
        <f>S28</f>
        <v>6176.5327313769758</v>
      </c>
      <c r="F38" s="72">
        <f>L28+M28+N28+R28+X28</f>
        <v>11753.667425968109</v>
      </c>
      <c r="G38" s="72">
        <f>P28</f>
        <v>2044.8868778280541</v>
      </c>
      <c r="H38" s="72">
        <f>T28</f>
        <v>790.19909502262453</v>
      </c>
      <c r="I38" s="72">
        <f>V28</f>
        <v>803.46485260770964</v>
      </c>
      <c r="J38" s="72">
        <f>C28</f>
        <v>2148.4615384615386</v>
      </c>
      <c r="K38" s="72">
        <f>O28</f>
        <v>480.5491990846682</v>
      </c>
      <c r="L38" s="72">
        <f>J28</f>
        <v>1431.1674208144798</v>
      </c>
      <c r="M38" s="72">
        <f>B28+E28</f>
        <v>989.06787330316752</v>
      </c>
      <c r="N38" s="72">
        <f>U28</f>
        <v>548.15384615384619</v>
      </c>
      <c r="O38" s="73">
        <f>D28+K28</f>
        <v>1081.7324263038547</v>
      </c>
      <c r="P38" s="72">
        <f>Y28</f>
        <v>483.51264367816088</v>
      </c>
      <c r="Q38" s="118">
        <f>SUM(B38:P38)</f>
        <v>31169.224033771719</v>
      </c>
      <c r="R38" s="42">
        <f>AA28</f>
        <v>1069.4477634249861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69.768700696055689</v>
      </c>
      <c r="C40" s="80">
        <f t="shared" ref="C40:P40" si="4">C38*C39</f>
        <v>87.686218678815493</v>
      </c>
      <c r="D40" s="80">
        <f t="shared" si="4"/>
        <v>35.538275862068964</v>
      </c>
      <c r="E40" s="80">
        <f t="shared" si="4"/>
        <v>663.97726862302488</v>
      </c>
      <c r="F40" s="80">
        <f t="shared" si="4"/>
        <v>1145.9825740318906</v>
      </c>
      <c r="G40" s="80">
        <f t="shared" si="4"/>
        <v>214.71312217194568</v>
      </c>
      <c r="H40" s="80">
        <f t="shared" si="4"/>
        <v>82.970904977375568</v>
      </c>
      <c r="I40" s="80">
        <f t="shared" si="4"/>
        <v>82.355147392290235</v>
      </c>
      <c r="J40" s="80">
        <f t="shared" si="4"/>
        <v>225.58846153846153</v>
      </c>
      <c r="K40" s="80">
        <f t="shared" si="4"/>
        <v>44.450800915331811</v>
      </c>
      <c r="L40" s="80">
        <f t="shared" si="4"/>
        <v>150.27257918552039</v>
      </c>
      <c r="M40" s="80">
        <f t="shared" si="4"/>
        <v>103.85212669683258</v>
      </c>
      <c r="N40" s="80">
        <f t="shared" si="4"/>
        <v>57.556153846153848</v>
      </c>
      <c r="O40" s="81">
        <f t="shared" si="4"/>
        <v>110.87757369614511</v>
      </c>
      <c r="P40" s="80">
        <f t="shared" si="4"/>
        <v>42.307356321839073</v>
      </c>
      <c r="Q40" s="138">
        <f>SUM(B40:P40)</f>
        <v>3117.897264633752</v>
      </c>
      <c r="R40" s="137">
        <f>R38*R39</f>
        <v>89.619722575013839</v>
      </c>
    </row>
    <row r="41" spans="1:28" ht="18" customHeight="1" thickBot="1" x14ac:dyDescent="0.3">
      <c r="A41" s="49" t="s">
        <v>4</v>
      </c>
      <c r="B41" s="82">
        <f>B38+B40</f>
        <v>970.0100000000001</v>
      </c>
      <c r="C41" s="83">
        <f t="shared" ref="C41:R41" si="5">C38+C40</f>
        <v>1219.1212984054671</v>
      </c>
      <c r="D41" s="83">
        <f t="shared" si="5"/>
        <v>441.69000000000005</v>
      </c>
      <c r="E41" s="83">
        <f t="shared" si="5"/>
        <v>6840.51</v>
      </c>
      <c r="F41" s="83">
        <f t="shared" si="5"/>
        <v>12899.65</v>
      </c>
      <c r="G41" s="83">
        <f t="shared" si="5"/>
        <v>2259.6</v>
      </c>
      <c r="H41" s="83">
        <f t="shared" si="5"/>
        <v>873.17000000000007</v>
      </c>
      <c r="I41" s="83">
        <f t="shared" si="5"/>
        <v>885.81999999999994</v>
      </c>
      <c r="J41" s="83">
        <f t="shared" si="5"/>
        <v>2374.0500000000002</v>
      </c>
      <c r="K41" s="83">
        <f t="shared" si="5"/>
        <v>525</v>
      </c>
      <c r="L41" s="83">
        <f t="shared" si="5"/>
        <v>1581.44</v>
      </c>
      <c r="M41" s="83">
        <f t="shared" si="5"/>
        <v>1092.92</v>
      </c>
      <c r="N41" s="83">
        <f t="shared" si="5"/>
        <v>605.71</v>
      </c>
      <c r="O41" s="84">
        <f t="shared" si="5"/>
        <v>1192.6099999999999</v>
      </c>
      <c r="P41" s="83">
        <f t="shared" si="5"/>
        <v>525.81999999999994</v>
      </c>
      <c r="Q41" s="120">
        <f>SUM(B41:P41)</f>
        <v>34287.121298405458</v>
      </c>
      <c r="R41" s="85">
        <f t="shared" si="5"/>
        <v>1159.0674859999999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8A866-30E7-4B02-B36C-C1401C448842}">
  <sheetPr>
    <tabColor theme="1"/>
    <pageSetUpPr fitToPage="1"/>
  </sheetPr>
  <dimension ref="A1:AB41"/>
  <sheetViews>
    <sheetView zoomScale="90" zoomScaleNormal="90" workbookViewId="0">
      <selection activeCell="B28" sqref="B28"/>
    </sheetView>
  </sheetViews>
  <sheetFormatPr defaultColWidth="11.140625" defaultRowHeight="18" customHeight="1" x14ac:dyDescent="0.25"/>
  <cols>
    <col min="1" max="25" width="11.140625" style="27"/>
    <col min="26" max="26" width="13.140625" style="27" bestFit="1" customWidth="1"/>
    <col min="27" max="27" width="11.140625" style="27"/>
    <col min="28" max="28" width="14.140625" style="27" bestFit="1" customWidth="1"/>
    <col min="29" max="16384" width="11.140625" style="27"/>
  </cols>
  <sheetData>
    <row r="1" spans="1:28" ht="18" customHeight="1" x14ac:dyDescent="0.25">
      <c r="A1" s="26" t="s">
        <v>11</v>
      </c>
    </row>
    <row r="2" spans="1:28" ht="18" customHeight="1" x14ac:dyDescent="0.25">
      <c r="A2" s="28" t="s">
        <v>96</v>
      </c>
      <c r="B2" s="20"/>
      <c r="C2" s="20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1:28" ht="18" customHeight="1" x14ac:dyDescent="0.25">
      <c r="A3" s="21" t="s">
        <v>0</v>
      </c>
      <c r="B3" s="22"/>
      <c r="C3" s="22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spans="1:28" ht="18" customHeight="1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spans="1:28" ht="18" customHeight="1" thickBot="1" x14ac:dyDescent="0.3">
      <c r="A5" s="31" t="s">
        <v>1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1"/>
      <c r="AA5" s="32"/>
      <c r="AB5" s="33"/>
    </row>
    <row r="6" spans="1:28" s="34" customFormat="1" ht="43.5" customHeight="1" thickBot="1" x14ac:dyDescent="0.3">
      <c r="A6" s="87" t="s">
        <v>54</v>
      </c>
      <c r="B6" s="50" t="s">
        <v>60</v>
      </c>
      <c r="C6" s="50" t="s">
        <v>52</v>
      </c>
      <c r="D6" s="50" t="s">
        <v>34</v>
      </c>
      <c r="E6" s="50" t="s">
        <v>35</v>
      </c>
      <c r="F6" s="50" t="s">
        <v>36</v>
      </c>
      <c r="G6" s="50" t="s">
        <v>37</v>
      </c>
      <c r="H6" s="50" t="s">
        <v>38</v>
      </c>
      <c r="I6" s="50" t="s">
        <v>39</v>
      </c>
      <c r="J6" s="50" t="s">
        <v>40</v>
      </c>
      <c r="K6" s="50" t="s">
        <v>41</v>
      </c>
      <c r="L6" s="50" t="s">
        <v>42</v>
      </c>
      <c r="M6" s="50" t="s">
        <v>43</v>
      </c>
      <c r="N6" s="50" t="s">
        <v>44</v>
      </c>
      <c r="O6" s="50" t="s">
        <v>45</v>
      </c>
      <c r="P6" s="50" t="s">
        <v>46</v>
      </c>
      <c r="Q6" s="50" t="s">
        <v>47</v>
      </c>
      <c r="R6" s="50" t="s">
        <v>48</v>
      </c>
      <c r="S6" s="50" t="s">
        <v>49</v>
      </c>
      <c r="T6" s="50" t="s">
        <v>50</v>
      </c>
      <c r="U6" s="50" t="s">
        <v>51</v>
      </c>
      <c r="V6" s="50" t="s">
        <v>58</v>
      </c>
      <c r="W6" s="50" t="s">
        <v>59</v>
      </c>
      <c r="X6" s="50" t="s">
        <v>64</v>
      </c>
      <c r="Y6" s="50" t="s">
        <v>65</v>
      </c>
      <c r="Z6" s="88" t="s">
        <v>85</v>
      </c>
      <c r="AA6" s="92" t="s">
        <v>86</v>
      </c>
      <c r="AB6" s="92" t="s">
        <v>84</v>
      </c>
    </row>
    <row r="7" spans="1:28" ht="18" customHeight="1" x14ac:dyDescent="0.25">
      <c r="A7" s="35" t="s">
        <v>5</v>
      </c>
      <c r="B7" s="36">
        <v>214.12</v>
      </c>
      <c r="C7" s="36">
        <v>70494.89</v>
      </c>
      <c r="D7" s="36">
        <v>55572.83</v>
      </c>
      <c r="E7" s="36">
        <v>57676.39</v>
      </c>
      <c r="F7" s="36">
        <v>43526.7</v>
      </c>
      <c r="G7" s="36">
        <v>24665.39</v>
      </c>
      <c r="H7" s="36">
        <v>37439.32</v>
      </c>
      <c r="I7" s="36">
        <v>26741.67</v>
      </c>
      <c r="J7" s="36">
        <v>47729.26</v>
      </c>
      <c r="K7" s="36">
        <v>25223.55</v>
      </c>
      <c r="L7" s="36">
        <v>26709.69</v>
      </c>
      <c r="M7" s="36">
        <v>43516.66</v>
      </c>
      <c r="N7" s="36">
        <v>73314.7</v>
      </c>
      <c r="O7" s="36">
        <v>41317.96</v>
      </c>
      <c r="P7" s="36">
        <v>65994.759999999995</v>
      </c>
      <c r="Q7" s="36">
        <v>36777.21</v>
      </c>
      <c r="R7" s="36">
        <v>49156.36</v>
      </c>
      <c r="S7" s="36">
        <v>53990.66</v>
      </c>
      <c r="T7" s="36">
        <v>41877.31</v>
      </c>
      <c r="U7" s="36">
        <v>36972.65</v>
      </c>
      <c r="V7" s="36">
        <v>60105.34</v>
      </c>
      <c r="W7" s="36">
        <v>46701.38</v>
      </c>
      <c r="X7" s="36">
        <v>38593.120000000003</v>
      </c>
      <c r="Y7" s="36">
        <v>32755.78</v>
      </c>
      <c r="Z7" s="101">
        <f>SUM(B7:Y7)</f>
        <v>1037067.7</v>
      </c>
      <c r="AA7" s="109">
        <v>31144.11</v>
      </c>
      <c r="AB7" s="93">
        <f>Z7+AA7</f>
        <v>1068211.81</v>
      </c>
    </row>
    <row r="8" spans="1:28" ht="17.25" customHeight="1" x14ac:dyDescent="0.25">
      <c r="A8" s="35" t="s">
        <v>6</v>
      </c>
      <c r="B8" s="36">
        <v>0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173.14</v>
      </c>
      <c r="N8" s="36">
        <v>0</v>
      </c>
      <c r="O8" s="36">
        <v>0</v>
      </c>
      <c r="P8" s="36">
        <v>173.14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101">
        <f>SUM(B8:Y8)</f>
        <v>346.28</v>
      </c>
      <c r="AA8" s="109">
        <v>0</v>
      </c>
      <c r="AB8" s="93">
        <f>Z8+AA8</f>
        <v>346.28</v>
      </c>
    </row>
    <row r="9" spans="1:28" ht="18" customHeight="1" x14ac:dyDescent="0.25">
      <c r="A9" s="35" t="s">
        <v>8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35</v>
      </c>
      <c r="Z9" s="101">
        <f>SUM(B9:Y9)</f>
        <v>35</v>
      </c>
      <c r="AA9" s="109">
        <v>0</v>
      </c>
      <c r="AB9" s="93">
        <f>Z9+AA9</f>
        <v>35</v>
      </c>
    </row>
    <row r="10" spans="1:28" ht="18" customHeight="1" thickBot="1" x14ac:dyDescent="0.3">
      <c r="A10" s="35" t="s">
        <v>7</v>
      </c>
      <c r="B10" s="36">
        <v>0</v>
      </c>
      <c r="C10" s="36">
        <v>0.33</v>
      </c>
      <c r="D10" s="36">
        <v>0.15</v>
      </c>
      <c r="E10" s="36">
        <v>0.1</v>
      </c>
      <c r="F10" s="36">
        <v>0.16</v>
      </c>
      <c r="G10" s="36">
        <v>0.16</v>
      </c>
      <c r="H10" s="36">
        <v>0.12</v>
      </c>
      <c r="I10" s="36">
        <v>0.18</v>
      </c>
      <c r="J10" s="36">
        <v>0.1</v>
      </c>
      <c r="K10" s="36">
        <v>0.09</v>
      </c>
      <c r="L10" s="36">
        <v>0.11</v>
      </c>
      <c r="M10" s="36">
        <v>0.24</v>
      </c>
      <c r="N10" s="36">
        <v>0.31</v>
      </c>
      <c r="O10" s="36">
        <v>0.17</v>
      </c>
      <c r="P10" s="36">
        <v>0.2</v>
      </c>
      <c r="Q10" s="36">
        <v>0.19</v>
      </c>
      <c r="R10" s="36">
        <v>0.4</v>
      </c>
      <c r="S10" s="36">
        <v>0.18</v>
      </c>
      <c r="T10" s="36">
        <v>0.13</v>
      </c>
      <c r="U10" s="36">
        <v>0.12</v>
      </c>
      <c r="V10" s="36">
        <v>0.21</v>
      </c>
      <c r="W10" s="36">
        <v>0.15</v>
      </c>
      <c r="X10" s="36">
        <v>0.15</v>
      </c>
      <c r="Y10" s="36">
        <v>0.15</v>
      </c>
      <c r="Z10" s="101">
        <f>SUM(B10:Y10)</f>
        <v>4.1000000000000005</v>
      </c>
      <c r="AA10" s="109">
        <v>0.15</v>
      </c>
      <c r="AB10" s="93">
        <f>Z10+AA10</f>
        <v>4.2500000000000009</v>
      </c>
    </row>
    <row r="11" spans="1:28" ht="18" customHeight="1" thickBot="1" x14ac:dyDescent="0.3">
      <c r="A11" s="49" t="s">
        <v>19</v>
      </c>
      <c r="B11" s="89">
        <v>0</v>
      </c>
      <c r="C11" s="89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140">
        <f>SUM(Z7:Z10)</f>
        <v>1037453.08</v>
      </c>
      <c r="AA11" s="141">
        <f>SUM(AA7:AA10)</f>
        <v>31144.260000000002</v>
      </c>
      <c r="AB11" s="142">
        <f>SUM(AB7:AB10)</f>
        <v>1068597.3400000001</v>
      </c>
    </row>
    <row r="12" spans="1:28" ht="18" customHeight="1" thickBot="1" x14ac:dyDescent="0.3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103"/>
      <c r="AA12" s="110"/>
      <c r="AB12" s="95"/>
    </row>
    <row r="13" spans="1:28" ht="39.75" customHeight="1" thickBot="1" x14ac:dyDescent="0.3">
      <c r="A13" s="87" t="s">
        <v>55</v>
      </c>
      <c r="B13" s="50" t="s">
        <v>53</v>
      </c>
      <c r="C13" s="50" t="s">
        <v>52</v>
      </c>
      <c r="D13" s="50" t="s">
        <v>34</v>
      </c>
      <c r="E13" s="50" t="s">
        <v>35</v>
      </c>
      <c r="F13" s="50" t="s">
        <v>36</v>
      </c>
      <c r="G13" s="50" t="s">
        <v>37</v>
      </c>
      <c r="H13" s="50" t="s">
        <v>38</v>
      </c>
      <c r="I13" s="50" t="s">
        <v>39</v>
      </c>
      <c r="J13" s="50" t="s">
        <v>40</v>
      </c>
      <c r="K13" s="50" t="s">
        <v>41</v>
      </c>
      <c r="L13" s="50" t="s">
        <v>42</v>
      </c>
      <c r="M13" s="50" t="s">
        <v>43</v>
      </c>
      <c r="N13" s="50" t="s">
        <v>44</v>
      </c>
      <c r="O13" s="50" t="s">
        <v>45</v>
      </c>
      <c r="P13" s="50" t="s">
        <v>46</v>
      </c>
      <c r="Q13" s="50" t="s">
        <v>47</v>
      </c>
      <c r="R13" s="50" t="s">
        <v>48</v>
      </c>
      <c r="S13" s="50" t="s">
        <v>49</v>
      </c>
      <c r="T13" s="50" t="s">
        <v>50</v>
      </c>
      <c r="U13" s="50" t="s">
        <v>51</v>
      </c>
      <c r="V13" s="50" t="s">
        <v>58</v>
      </c>
      <c r="W13" s="50" t="s">
        <v>59</v>
      </c>
      <c r="X13" s="50" t="s">
        <v>64</v>
      </c>
      <c r="Y13" s="50" t="s">
        <v>65</v>
      </c>
      <c r="Z13" s="88"/>
      <c r="AA13" s="92" t="s">
        <v>86</v>
      </c>
      <c r="AB13" s="96" t="s">
        <v>2</v>
      </c>
    </row>
    <row r="14" spans="1:28" ht="18" customHeight="1" x14ac:dyDescent="0.25">
      <c r="A14" s="35" t="s">
        <v>6</v>
      </c>
      <c r="B14" s="36">
        <v>0</v>
      </c>
      <c r="C14" s="36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76.73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101">
        <f>SUM(B14:Y14)</f>
        <v>76.73</v>
      </c>
      <c r="AA14" s="109">
        <v>0</v>
      </c>
      <c r="AB14" s="93">
        <f>Z14+AA14</f>
        <v>76.73</v>
      </c>
    </row>
    <row r="15" spans="1:28" ht="18" customHeight="1" x14ac:dyDescent="0.25">
      <c r="A15" s="35" t="s">
        <v>8</v>
      </c>
      <c r="B15" s="36">
        <v>0</v>
      </c>
      <c r="C15" s="36">
        <v>828.77</v>
      </c>
      <c r="D15" s="36">
        <v>228.46</v>
      </c>
      <c r="E15" s="36">
        <v>773.86</v>
      </c>
      <c r="F15" s="36">
        <v>383.63</v>
      </c>
      <c r="G15" s="36">
        <v>618.22</v>
      </c>
      <c r="H15" s="36">
        <v>216.21</v>
      </c>
      <c r="I15" s="36">
        <v>255.02</v>
      </c>
      <c r="J15" s="36">
        <v>423.32</v>
      </c>
      <c r="K15" s="36">
        <v>538.41</v>
      </c>
      <c r="L15" s="36">
        <v>308.58999999999997</v>
      </c>
      <c r="M15" s="36">
        <v>1191.4000000000001</v>
      </c>
      <c r="N15" s="36">
        <v>2024.27</v>
      </c>
      <c r="O15" s="36">
        <v>544.27</v>
      </c>
      <c r="P15" s="36">
        <v>937.92</v>
      </c>
      <c r="Q15" s="36">
        <v>76.84</v>
      </c>
      <c r="R15" s="36">
        <v>988.22</v>
      </c>
      <c r="S15" s="36">
        <v>1603.43</v>
      </c>
      <c r="T15" s="36">
        <v>168.75</v>
      </c>
      <c r="U15" s="36">
        <v>439.06</v>
      </c>
      <c r="V15" s="36">
        <v>284.60000000000002</v>
      </c>
      <c r="W15" s="36">
        <v>261.02</v>
      </c>
      <c r="X15" s="36">
        <v>119</v>
      </c>
      <c r="Y15" s="36">
        <v>1336.76</v>
      </c>
      <c r="Z15" s="101">
        <f>SUM(B15:Y15)</f>
        <v>14550.030000000002</v>
      </c>
      <c r="AA15" s="109">
        <v>432.52</v>
      </c>
      <c r="AB15" s="93">
        <f>Z15+AA15</f>
        <v>14982.550000000003</v>
      </c>
    </row>
    <row r="16" spans="1:28" ht="18" customHeight="1" x14ac:dyDescent="0.25">
      <c r="A16" s="35" t="s">
        <v>13</v>
      </c>
      <c r="B16" s="36">
        <v>0</v>
      </c>
      <c r="C16" s="36">
        <v>0</v>
      </c>
      <c r="D16" s="36">
        <v>99.34</v>
      </c>
      <c r="E16" s="36">
        <v>0</v>
      </c>
      <c r="F16" s="36">
        <v>74.22</v>
      </c>
      <c r="G16" s="36">
        <v>215.47</v>
      </c>
      <c r="H16" s="36">
        <v>0</v>
      </c>
      <c r="I16" s="36">
        <v>110.39</v>
      </c>
      <c r="J16" s="36">
        <v>0</v>
      </c>
      <c r="K16" s="36">
        <v>0</v>
      </c>
      <c r="L16" s="36">
        <v>19.78</v>
      </c>
      <c r="M16" s="36">
        <v>59.33</v>
      </c>
      <c r="N16" s="36">
        <v>134.94</v>
      </c>
      <c r="O16" s="36">
        <v>114.62</v>
      </c>
      <c r="P16" s="36">
        <v>59.74</v>
      </c>
      <c r="Q16" s="36">
        <v>0</v>
      </c>
      <c r="R16" s="36">
        <v>94.42</v>
      </c>
      <c r="S16" s="36">
        <v>59.88</v>
      </c>
      <c r="T16" s="36">
        <v>19.91</v>
      </c>
      <c r="U16" s="36">
        <v>197.5</v>
      </c>
      <c r="V16" s="36">
        <v>0</v>
      </c>
      <c r="W16" s="36">
        <v>0</v>
      </c>
      <c r="X16" s="36">
        <v>122.33</v>
      </c>
      <c r="Y16" s="36">
        <v>97.98</v>
      </c>
      <c r="Z16" s="101">
        <f>SUM(B16:Y16)</f>
        <v>1479.8500000000001</v>
      </c>
      <c r="AA16" s="109">
        <v>133.24</v>
      </c>
      <c r="AB16" s="93">
        <f>Z16+AA16</f>
        <v>1613.0900000000001</v>
      </c>
    </row>
    <row r="17" spans="1:28" ht="18" customHeight="1" thickBot="1" x14ac:dyDescent="0.3">
      <c r="A17" s="35" t="s">
        <v>22</v>
      </c>
      <c r="B17" s="36">
        <v>326.39</v>
      </c>
      <c r="C17" s="36">
        <v>163.19999999999999</v>
      </c>
      <c r="D17" s="36">
        <v>22.25</v>
      </c>
      <c r="E17" s="36">
        <v>0</v>
      </c>
      <c r="F17" s="36">
        <v>0</v>
      </c>
      <c r="G17" s="36">
        <v>0</v>
      </c>
      <c r="H17" s="36">
        <v>0</v>
      </c>
      <c r="I17" s="36">
        <v>159.13999999999999</v>
      </c>
      <c r="J17" s="36">
        <v>22.3</v>
      </c>
      <c r="K17" s="36">
        <v>0</v>
      </c>
      <c r="L17" s="36">
        <v>0</v>
      </c>
      <c r="M17" s="36">
        <v>0</v>
      </c>
      <c r="N17" s="36">
        <v>162.09</v>
      </c>
      <c r="O17" s="36">
        <v>0</v>
      </c>
      <c r="P17" s="36">
        <v>0</v>
      </c>
      <c r="Q17" s="36">
        <v>0</v>
      </c>
      <c r="R17" s="36">
        <v>162.09</v>
      </c>
      <c r="S17" s="36">
        <v>0</v>
      </c>
      <c r="T17" s="36">
        <v>0</v>
      </c>
      <c r="U17" s="36">
        <v>496.4</v>
      </c>
      <c r="V17" s="36">
        <v>0</v>
      </c>
      <c r="W17" s="36">
        <v>0</v>
      </c>
      <c r="X17" s="36">
        <v>0</v>
      </c>
      <c r="Y17" s="36">
        <v>0</v>
      </c>
      <c r="Z17" s="101">
        <f>SUM(B17:Y17)</f>
        <v>1513.8600000000001</v>
      </c>
      <c r="AA17" s="109">
        <v>0</v>
      </c>
      <c r="AB17" s="93">
        <f>Z17+AA17</f>
        <v>1513.8600000000001</v>
      </c>
    </row>
    <row r="18" spans="1:28" ht="18" customHeight="1" thickBot="1" x14ac:dyDescent="0.3">
      <c r="A18" s="85" t="s">
        <v>20</v>
      </c>
      <c r="B18" s="89">
        <f>SUM(B14:B17)</f>
        <v>326.39</v>
      </c>
      <c r="C18" s="89">
        <f t="shared" ref="C18:AB18" si="0">SUM(C14:C17)</f>
        <v>991.97</v>
      </c>
      <c r="D18" s="89">
        <f t="shared" si="0"/>
        <v>350.05</v>
      </c>
      <c r="E18" s="89">
        <f t="shared" si="0"/>
        <v>773.86</v>
      </c>
      <c r="F18" s="89">
        <f t="shared" si="0"/>
        <v>457.85</v>
      </c>
      <c r="G18" s="89">
        <f t="shared" si="0"/>
        <v>833.69</v>
      </c>
      <c r="H18" s="89">
        <f t="shared" si="0"/>
        <v>216.21</v>
      </c>
      <c r="I18" s="89">
        <f t="shared" si="0"/>
        <v>524.54999999999995</v>
      </c>
      <c r="J18" s="89">
        <f t="shared" si="0"/>
        <v>445.62</v>
      </c>
      <c r="K18" s="89">
        <f t="shared" si="0"/>
        <v>538.41</v>
      </c>
      <c r="L18" s="89">
        <f t="shared" si="0"/>
        <v>328.37</v>
      </c>
      <c r="M18" s="89">
        <f t="shared" si="0"/>
        <v>1250.73</v>
      </c>
      <c r="N18" s="89">
        <f t="shared" si="0"/>
        <v>2321.3000000000002</v>
      </c>
      <c r="O18" s="89">
        <f t="shared" si="0"/>
        <v>658.89</v>
      </c>
      <c r="P18" s="89">
        <f t="shared" si="0"/>
        <v>997.66</v>
      </c>
      <c r="Q18" s="89">
        <f t="shared" si="0"/>
        <v>76.84</v>
      </c>
      <c r="R18" s="89">
        <f t="shared" si="0"/>
        <v>1244.73</v>
      </c>
      <c r="S18" s="89">
        <f t="shared" si="0"/>
        <v>1663.3100000000002</v>
      </c>
      <c r="T18" s="89">
        <f t="shared" si="0"/>
        <v>265.39000000000004</v>
      </c>
      <c r="U18" s="89">
        <f t="shared" si="0"/>
        <v>1132.96</v>
      </c>
      <c r="V18" s="89">
        <f t="shared" si="0"/>
        <v>284.60000000000002</v>
      </c>
      <c r="W18" s="89">
        <f t="shared" si="0"/>
        <v>261.02</v>
      </c>
      <c r="X18" s="89">
        <f t="shared" si="0"/>
        <v>241.32999999999998</v>
      </c>
      <c r="Y18" s="89">
        <f t="shared" si="0"/>
        <v>1434.74</v>
      </c>
      <c r="Z18" s="102">
        <f>SUM(Z14:Z17)</f>
        <v>17620.47</v>
      </c>
      <c r="AA18" s="102">
        <f>SUM(AA14:AA17)</f>
        <v>565.76</v>
      </c>
      <c r="AB18" s="94">
        <f t="shared" si="0"/>
        <v>18186.230000000003</v>
      </c>
    </row>
    <row r="19" spans="1:28" ht="18" customHeight="1" x14ac:dyDescent="0.2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104"/>
      <c r="AA19" s="111"/>
      <c r="AB19" s="97"/>
    </row>
    <row r="20" spans="1:28" ht="18" customHeight="1" x14ac:dyDescent="0.25">
      <c r="A20" s="45" t="s">
        <v>21</v>
      </c>
      <c r="B20" s="39">
        <f>SUM(B11,B18)</f>
        <v>326.39</v>
      </c>
      <c r="C20" s="39">
        <f t="shared" ref="C20:AB20" si="1">SUM(C11,C18)</f>
        <v>991.97</v>
      </c>
      <c r="D20" s="39">
        <f t="shared" si="1"/>
        <v>350.05</v>
      </c>
      <c r="E20" s="39">
        <f t="shared" si="1"/>
        <v>773.86</v>
      </c>
      <c r="F20" s="39">
        <f t="shared" si="1"/>
        <v>457.85</v>
      </c>
      <c r="G20" s="39">
        <f t="shared" si="1"/>
        <v>833.69</v>
      </c>
      <c r="H20" s="39">
        <f t="shared" si="1"/>
        <v>216.21</v>
      </c>
      <c r="I20" s="39">
        <f t="shared" si="1"/>
        <v>524.54999999999995</v>
      </c>
      <c r="J20" s="39">
        <f t="shared" si="1"/>
        <v>445.62</v>
      </c>
      <c r="K20" s="39">
        <f t="shared" si="1"/>
        <v>538.41</v>
      </c>
      <c r="L20" s="39">
        <f t="shared" si="1"/>
        <v>328.37</v>
      </c>
      <c r="M20" s="39">
        <f t="shared" si="1"/>
        <v>1250.73</v>
      </c>
      <c r="N20" s="39">
        <f t="shared" si="1"/>
        <v>2321.3000000000002</v>
      </c>
      <c r="O20" s="39">
        <f t="shared" si="1"/>
        <v>658.89</v>
      </c>
      <c r="P20" s="39">
        <f t="shared" si="1"/>
        <v>997.66</v>
      </c>
      <c r="Q20" s="39">
        <f t="shared" si="1"/>
        <v>76.84</v>
      </c>
      <c r="R20" s="39">
        <f t="shared" si="1"/>
        <v>1244.73</v>
      </c>
      <c r="S20" s="39">
        <f t="shared" si="1"/>
        <v>1663.3100000000002</v>
      </c>
      <c r="T20" s="39">
        <f t="shared" si="1"/>
        <v>265.39000000000004</v>
      </c>
      <c r="U20" s="39">
        <f t="shared" si="1"/>
        <v>1132.96</v>
      </c>
      <c r="V20" s="39">
        <f t="shared" si="1"/>
        <v>284.60000000000002</v>
      </c>
      <c r="W20" s="39">
        <f t="shared" si="1"/>
        <v>261.02</v>
      </c>
      <c r="X20" s="39">
        <f t="shared" si="1"/>
        <v>241.32999999999998</v>
      </c>
      <c r="Y20" s="39">
        <f t="shared" si="1"/>
        <v>1434.74</v>
      </c>
      <c r="Z20" s="139">
        <f>Z11+Z18</f>
        <v>1055073.55</v>
      </c>
      <c r="AA20" s="143">
        <f>AA11+AA18</f>
        <v>31710.02</v>
      </c>
      <c r="AB20" s="136">
        <f t="shared" si="1"/>
        <v>1086783.57</v>
      </c>
    </row>
    <row r="21" spans="1:28" ht="18" customHeight="1" thickBot="1" x14ac:dyDescent="0.3">
      <c r="A21" s="40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05"/>
      <c r="AA21" s="112"/>
      <c r="AB21" s="95"/>
    </row>
    <row r="22" spans="1:28" ht="18" customHeight="1" x14ac:dyDescent="0.25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106"/>
      <c r="AA22" s="113"/>
      <c r="AB22" s="48"/>
    </row>
    <row r="23" spans="1:28" ht="18" customHeight="1" x14ac:dyDescent="0.2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106"/>
      <c r="AA23" s="113"/>
      <c r="AB23" s="48"/>
    </row>
    <row r="24" spans="1:28" ht="18" customHeight="1" thickBot="1" x14ac:dyDescent="0.3">
      <c r="Z24" s="107"/>
      <c r="AA24" s="114"/>
    </row>
    <row r="25" spans="1:28" ht="34.5" customHeight="1" thickBot="1" x14ac:dyDescent="0.3">
      <c r="A25" s="49"/>
      <c r="B25" s="50" t="s">
        <v>53</v>
      </c>
      <c r="C25" s="50" t="s">
        <v>52</v>
      </c>
      <c r="D25" s="50" t="s">
        <v>34</v>
      </c>
      <c r="E25" s="50" t="s">
        <v>35</v>
      </c>
      <c r="F25" s="50" t="s">
        <v>36</v>
      </c>
      <c r="G25" s="50" t="s">
        <v>37</v>
      </c>
      <c r="H25" s="50" t="s">
        <v>38</v>
      </c>
      <c r="I25" s="50" t="s">
        <v>39</v>
      </c>
      <c r="J25" s="50" t="s">
        <v>40</v>
      </c>
      <c r="K25" s="50" t="s">
        <v>41</v>
      </c>
      <c r="L25" s="50" t="s">
        <v>42</v>
      </c>
      <c r="M25" s="50" t="s">
        <v>43</v>
      </c>
      <c r="N25" s="50" t="s">
        <v>44</v>
      </c>
      <c r="O25" s="50" t="s">
        <v>45</v>
      </c>
      <c r="P25" s="50" t="s">
        <v>46</v>
      </c>
      <c r="Q25" s="50" t="s">
        <v>47</v>
      </c>
      <c r="R25" s="50" t="s">
        <v>48</v>
      </c>
      <c r="S25" s="50" t="s">
        <v>49</v>
      </c>
      <c r="T25" s="50" t="s">
        <v>50</v>
      </c>
      <c r="U25" s="50" t="s">
        <v>51</v>
      </c>
      <c r="V25" s="50" t="s">
        <v>58</v>
      </c>
      <c r="W25" s="50" t="s">
        <v>59</v>
      </c>
      <c r="X25" s="50" t="s">
        <v>64</v>
      </c>
      <c r="Y25" s="50" t="s">
        <v>65</v>
      </c>
      <c r="Z25" s="125"/>
      <c r="AA25" s="88" t="s">
        <v>86</v>
      </c>
      <c r="AB25" s="98"/>
    </row>
    <row r="26" spans="1:28" ht="18" customHeight="1" thickBot="1" x14ac:dyDescent="0.3">
      <c r="A26" s="51" t="s">
        <v>14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4"/>
      <c r="AA26" s="49"/>
      <c r="AB26" s="98"/>
    </row>
    <row r="27" spans="1:28" s="54" customFormat="1" ht="18" customHeight="1" x14ac:dyDescent="0.25">
      <c r="A27" s="53" t="s">
        <v>61</v>
      </c>
      <c r="B27" s="158">
        <v>0.105</v>
      </c>
      <c r="C27" s="158">
        <v>0.105</v>
      </c>
      <c r="D27" s="158">
        <v>0.10249999999999999</v>
      </c>
      <c r="E27" s="158">
        <v>0.105</v>
      </c>
      <c r="F27" s="54">
        <v>7.7499999999999999E-2</v>
      </c>
      <c r="G27" s="54">
        <v>7.7499999999999999E-2</v>
      </c>
      <c r="H27" s="54">
        <v>7.7499999999999999E-2</v>
      </c>
      <c r="I27" s="54">
        <v>7.7499999999999999E-2</v>
      </c>
      <c r="J27" s="158">
        <v>0.105</v>
      </c>
      <c r="K27" s="158">
        <v>0.10249999999999999</v>
      </c>
      <c r="L27" s="158">
        <v>9.7500000000000003E-2</v>
      </c>
      <c r="M27" s="158">
        <v>9.7500000000000003E-2</v>
      </c>
      <c r="N27" s="158">
        <v>9.7500000000000003E-2</v>
      </c>
      <c r="O27" s="54">
        <v>9.2499999999999999E-2</v>
      </c>
      <c r="P27" s="158">
        <v>0.105</v>
      </c>
      <c r="Q27" s="54">
        <v>8.7499999999999994E-2</v>
      </c>
      <c r="R27" s="158">
        <v>9.7500000000000003E-2</v>
      </c>
      <c r="S27" s="158">
        <v>0.1075</v>
      </c>
      <c r="T27" s="158">
        <v>0.105</v>
      </c>
      <c r="U27" s="158">
        <v>0.105</v>
      </c>
      <c r="V27" s="158">
        <v>0.10249999999999999</v>
      </c>
      <c r="W27" s="54">
        <v>7.7499999999999999E-2</v>
      </c>
      <c r="X27" s="158">
        <v>9.7500000000000003E-2</v>
      </c>
      <c r="Y27" s="54">
        <v>8.7499999999999994E-2</v>
      </c>
      <c r="Z27" s="126"/>
      <c r="AA27" s="108">
        <v>8.3799999999999999E-2</v>
      </c>
      <c r="AB27" s="99"/>
    </row>
    <row r="28" spans="1:28" s="56" customFormat="1" ht="18" customHeight="1" x14ac:dyDescent="0.25">
      <c r="A28" s="55" t="s">
        <v>62</v>
      </c>
      <c r="B28" s="56">
        <f>B18/1.105</f>
        <v>295.37556561085972</v>
      </c>
      <c r="C28" s="56">
        <f>C18/1.105</f>
        <v>897.71040723981901</v>
      </c>
      <c r="D28" s="56">
        <f>D18/1.1025</f>
        <v>317.50566893424036</v>
      </c>
      <c r="E28" s="56">
        <f>E18/1.105</f>
        <v>700.32579185520365</v>
      </c>
      <c r="F28" s="56">
        <f>F18/1.0775</f>
        <v>424.91879350348034</v>
      </c>
      <c r="G28" s="56">
        <f>G18/1.0775</f>
        <v>773.72621809744794</v>
      </c>
      <c r="H28" s="56">
        <f>H18/1.0775</f>
        <v>200.65893271461721</v>
      </c>
      <c r="I28" s="56">
        <f>I18/1.0775</f>
        <v>486.82134570765663</v>
      </c>
      <c r="J28" s="56">
        <f>J18/1.105</f>
        <v>403.27601809954751</v>
      </c>
      <c r="K28" s="56">
        <f>K18/1.1025</f>
        <v>488.35374149659862</v>
      </c>
      <c r="L28" s="56">
        <f>L18/1.0975</f>
        <v>299.19817767653763</v>
      </c>
      <c r="M28" s="56">
        <f>M18/1.0975</f>
        <v>1139.6173120728931</v>
      </c>
      <c r="N28" s="56">
        <f>N18/1.0975</f>
        <v>2115.079726651481</v>
      </c>
      <c r="O28" s="56">
        <f>O18/1.0925</f>
        <v>603.1029748283753</v>
      </c>
      <c r="P28" s="56">
        <f>P18/1.105</f>
        <v>902.85972850678729</v>
      </c>
      <c r="Q28" s="56">
        <f>Q18/1.0875</f>
        <v>70.657471264367828</v>
      </c>
      <c r="R28" s="56">
        <f>R18/1.0975</f>
        <v>1134.1503416856492</v>
      </c>
      <c r="S28" s="56">
        <f>S18/1.1075</f>
        <v>1501.8600451467271</v>
      </c>
      <c r="T28" s="56">
        <f>T18/1.105</f>
        <v>240.17194570135752</v>
      </c>
      <c r="U28" s="56">
        <f>U18/1.105</f>
        <v>1025.3031674208146</v>
      </c>
      <c r="V28" s="56">
        <f>V18/1.1025</f>
        <v>258.14058956916102</v>
      </c>
      <c r="W28" s="56">
        <f>W18/1.0775</f>
        <v>242.24593967517401</v>
      </c>
      <c r="X28" s="56">
        <f>X18/1.0975</f>
        <v>219.89066059225513</v>
      </c>
      <c r="Y28" s="56">
        <f>Y18/1.0875</f>
        <v>1319.3011494252876</v>
      </c>
      <c r="Z28" s="127">
        <f>SUM(B28:Y28)-0.46</f>
        <v>16059.791713476339</v>
      </c>
      <c r="AA28" s="128">
        <f>AA18/1.0838-0.03</f>
        <v>521.98513194316297</v>
      </c>
      <c r="AB28" s="100">
        <f>Z28+AA28</f>
        <v>16581.776845419503</v>
      </c>
    </row>
    <row r="29" spans="1:28" ht="18" customHeight="1" thickBot="1" x14ac:dyDescent="0.3">
      <c r="A29" s="52" t="s">
        <v>63</v>
      </c>
      <c r="B29" s="56">
        <f>B18-B28</f>
        <v>31.014434389140263</v>
      </c>
      <c r="C29" s="56">
        <f t="shared" ref="C29:Y29" si="2">C18-C28</f>
        <v>94.259592760181022</v>
      </c>
      <c r="D29" s="56">
        <f t="shared" si="2"/>
        <v>32.54433106575965</v>
      </c>
      <c r="E29" s="56">
        <f t="shared" si="2"/>
        <v>73.534208144796366</v>
      </c>
      <c r="F29" s="56">
        <f t="shared" si="2"/>
        <v>32.931206496519678</v>
      </c>
      <c r="G29" s="56">
        <f t="shared" si="2"/>
        <v>59.963781902552114</v>
      </c>
      <c r="H29" s="56">
        <f t="shared" si="2"/>
        <v>15.5510672853828</v>
      </c>
      <c r="I29" s="56">
        <f t="shared" si="2"/>
        <v>37.728654292343322</v>
      </c>
      <c r="J29" s="56">
        <f t="shared" si="2"/>
        <v>42.343981900452491</v>
      </c>
      <c r="K29" s="56">
        <f t="shared" si="2"/>
        <v>50.056258503401352</v>
      </c>
      <c r="L29" s="56">
        <f t="shared" si="2"/>
        <v>29.171822323462379</v>
      </c>
      <c r="M29" s="56">
        <f t="shared" si="2"/>
        <v>111.11268792710689</v>
      </c>
      <c r="N29" s="56">
        <f t="shared" si="2"/>
        <v>206.22027334851919</v>
      </c>
      <c r="O29" s="56">
        <f t="shared" si="2"/>
        <v>55.787025171624691</v>
      </c>
      <c r="P29" s="56">
        <f t="shared" si="2"/>
        <v>94.800271493212676</v>
      </c>
      <c r="Q29" s="56">
        <f t="shared" si="2"/>
        <v>6.1825287356321752</v>
      </c>
      <c r="R29" s="56">
        <f t="shared" si="2"/>
        <v>110.57965831435081</v>
      </c>
      <c r="S29" s="56">
        <f t="shared" si="2"/>
        <v>161.44995485327308</v>
      </c>
      <c r="T29" s="56">
        <f t="shared" si="2"/>
        <v>25.218054298642528</v>
      </c>
      <c r="U29" s="56">
        <f t="shared" si="2"/>
        <v>107.65683257918545</v>
      </c>
      <c r="V29" s="56">
        <f t="shared" si="2"/>
        <v>26.459410430839</v>
      </c>
      <c r="W29" s="56">
        <f t="shared" si="2"/>
        <v>18.774060324825967</v>
      </c>
      <c r="X29" s="56">
        <f t="shared" si="2"/>
        <v>21.439339407744853</v>
      </c>
      <c r="Y29" s="56">
        <f t="shared" si="2"/>
        <v>115.43885057471243</v>
      </c>
      <c r="Z29" s="135">
        <f>SUM(B29:Y29)+0.46</f>
        <v>1560.6782865236614</v>
      </c>
      <c r="AA29" s="144">
        <f>AA18-AA28</f>
        <v>43.774868056837022</v>
      </c>
      <c r="AB29" s="100">
        <f>Z29+AA29</f>
        <v>1604.4531545804984</v>
      </c>
    </row>
    <row r="30" spans="1:28" ht="18" customHeight="1" thickBot="1" x14ac:dyDescent="0.3">
      <c r="A30" s="49"/>
      <c r="B30" s="129">
        <f>B28+B29</f>
        <v>326.39</v>
      </c>
      <c r="C30" s="129">
        <f t="shared" ref="C30:AA30" si="3">C28+C29</f>
        <v>991.97</v>
      </c>
      <c r="D30" s="129">
        <f t="shared" si="3"/>
        <v>350.05</v>
      </c>
      <c r="E30" s="129">
        <f t="shared" si="3"/>
        <v>773.86</v>
      </c>
      <c r="F30" s="129">
        <f t="shared" si="3"/>
        <v>457.85</v>
      </c>
      <c r="G30" s="129">
        <f t="shared" si="3"/>
        <v>833.69</v>
      </c>
      <c r="H30" s="129">
        <f t="shared" si="3"/>
        <v>216.21</v>
      </c>
      <c r="I30" s="129">
        <f t="shared" si="3"/>
        <v>524.54999999999995</v>
      </c>
      <c r="J30" s="129">
        <f t="shared" si="3"/>
        <v>445.62</v>
      </c>
      <c r="K30" s="129">
        <f t="shared" si="3"/>
        <v>538.41</v>
      </c>
      <c r="L30" s="129">
        <f t="shared" si="3"/>
        <v>328.37</v>
      </c>
      <c r="M30" s="129">
        <f t="shared" si="3"/>
        <v>1250.73</v>
      </c>
      <c r="N30" s="129">
        <f t="shared" si="3"/>
        <v>2321.3000000000002</v>
      </c>
      <c r="O30" s="129">
        <f t="shared" si="3"/>
        <v>658.89</v>
      </c>
      <c r="P30" s="129">
        <f t="shared" si="3"/>
        <v>997.66</v>
      </c>
      <c r="Q30" s="129">
        <f t="shared" si="3"/>
        <v>76.84</v>
      </c>
      <c r="R30" s="129">
        <f t="shared" si="3"/>
        <v>1244.73</v>
      </c>
      <c r="S30" s="129">
        <f t="shared" si="3"/>
        <v>1663.3100000000002</v>
      </c>
      <c r="T30" s="129">
        <f t="shared" si="3"/>
        <v>265.39000000000004</v>
      </c>
      <c r="U30" s="129">
        <f t="shared" si="3"/>
        <v>1132.96</v>
      </c>
      <c r="V30" s="129">
        <f t="shared" si="3"/>
        <v>284.60000000000002</v>
      </c>
      <c r="W30" s="129">
        <f t="shared" si="3"/>
        <v>261.02</v>
      </c>
      <c r="X30" s="129">
        <f t="shared" si="3"/>
        <v>241.32999999999998</v>
      </c>
      <c r="Y30" s="129">
        <f t="shared" si="3"/>
        <v>1434.74</v>
      </c>
      <c r="Z30" s="130">
        <f>Z28+Z29</f>
        <v>17620.47</v>
      </c>
      <c r="AA30" s="131">
        <f t="shared" si="3"/>
        <v>565.76</v>
      </c>
      <c r="AB30" s="132">
        <f>SUM(AB28:AB29)</f>
        <v>18186.230000000003</v>
      </c>
    </row>
    <row r="31" spans="1:28" ht="18" customHeight="1" x14ac:dyDescent="0.25">
      <c r="R31" s="56"/>
    </row>
    <row r="32" spans="1:28" ht="18" customHeight="1" thickBot="1" x14ac:dyDescent="0.3">
      <c r="R32" s="56"/>
    </row>
    <row r="33" spans="1:28" ht="18" customHeight="1" thickBot="1" x14ac:dyDescent="0.3">
      <c r="R33" s="56"/>
      <c r="AB33" s="132">
        <f>AB11+AB28</f>
        <v>1085179.1168454196</v>
      </c>
    </row>
    <row r="34" spans="1:28" ht="18" customHeight="1" x14ac:dyDescent="0.25">
      <c r="A34" s="57" t="s">
        <v>4</v>
      </c>
      <c r="B34" s="58"/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115"/>
      <c r="R34" s="121"/>
      <c r="S34" s="56"/>
    </row>
    <row r="35" spans="1:28" ht="18" customHeight="1" thickBot="1" x14ac:dyDescent="0.3">
      <c r="A35" s="60" t="s">
        <v>66</v>
      </c>
      <c r="B35" s="61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116"/>
      <c r="R35" s="38"/>
      <c r="S35" s="56"/>
    </row>
    <row r="36" spans="1:28" s="30" customFormat="1" ht="35.25" customHeight="1" thickBot="1" x14ac:dyDescent="0.3">
      <c r="A36" s="63"/>
      <c r="B36" s="64">
        <v>31</v>
      </c>
      <c r="C36" s="64">
        <v>37</v>
      </c>
      <c r="D36" s="64">
        <v>519</v>
      </c>
      <c r="E36" s="64">
        <v>582</v>
      </c>
      <c r="F36" s="64">
        <v>594</v>
      </c>
      <c r="G36" s="64">
        <v>598</v>
      </c>
      <c r="H36" s="64">
        <v>599</v>
      </c>
      <c r="I36" s="64">
        <v>600</v>
      </c>
      <c r="J36" s="64">
        <v>638</v>
      </c>
      <c r="K36" s="64">
        <v>692</v>
      </c>
      <c r="L36" s="64"/>
      <c r="M36" s="64"/>
      <c r="N36" s="64"/>
      <c r="O36" s="65"/>
      <c r="P36" s="64"/>
      <c r="Q36" s="117"/>
      <c r="R36" s="122"/>
    </row>
    <row r="37" spans="1:28" s="30" customFormat="1" ht="55.5" customHeight="1" thickBot="1" x14ac:dyDescent="0.3">
      <c r="A37" s="31" t="s">
        <v>67</v>
      </c>
      <c r="B37" s="66" t="s">
        <v>68</v>
      </c>
      <c r="C37" s="67" t="s">
        <v>69</v>
      </c>
      <c r="D37" s="67" t="s">
        <v>70</v>
      </c>
      <c r="E37" s="67" t="s">
        <v>71</v>
      </c>
      <c r="F37" s="156" t="s">
        <v>90</v>
      </c>
      <c r="G37" s="67" t="s">
        <v>73</v>
      </c>
      <c r="H37" s="68" t="s">
        <v>74</v>
      </c>
      <c r="I37" s="68" t="s">
        <v>75</v>
      </c>
      <c r="J37" s="68" t="s">
        <v>76</v>
      </c>
      <c r="K37" s="67" t="s">
        <v>77</v>
      </c>
      <c r="L37" s="68" t="s">
        <v>78</v>
      </c>
      <c r="M37" s="68" t="s">
        <v>91</v>
      </c>
      <c r="N37" s="68" t="s">
        <v>82</v>
      </c>
      <c r="O37" s="69" t="s">
        <v>80</v>
      </c>
      <c r="P37" s="86" t="s">
        <v>83</v>
      </c>
      <c r="Q37" s="117" t="s">
        <v>85</v>
      </c>
      <c r="R37" s="123" t="s">
        <v>87</v>
      </c>
    </row>
    <row r="38" spans="1:28" ht="18" customHeight="1" x14ac:dyDescent="0.25">
      <c r="A38" s="70" t="s">
        <v>62</v>
      </c>
      <c r="B38" s="71">
        <f>W28</f>
        <v>242.24593967517401</v>
      </c>
      <c r="C38" s="71">
        <f>X28</f>
        <v>219.89066059225513</v>
      </c>
      <c r="D38" s="72">
        <f>Q28</f>
        <v>70.657471264367828</v>
      </c>
      <c r="E38" s="72">
        <f>S28</f>
        <v>1501.8600451467271</v>
      </c>
      <c r="F38" s="72">
        <f>L28+M28+N28+R28+X28</f>
        <v>4907.9362186788157</v>
      </c>
      <c r="G38" s="72">
        <f>P28</f>
        <v>902.85972850678729</v>
      </c>
      <c r="H38" s="72">
        <f>T28</f>
        <v>240.17194570135752</v>
      </c>
      <c r="I38" s="72">
        <f>V28</f>
        <v>258.14058956916102</v>
      </c>
      <c r="J38" s="72">
        <f>C28</f>
        <v>897.71040723981901</v>
      </c>
      <c r="K38" s="72">
        <f>O28</f>
        <v>603.1029748283753</v>
      </c>
      <c r="L38" s="72">
        <f>J28</f>
        <v>403.27601809954751</v>
      </c>
      <c r="M38" s="72">
        <f>B28+E28</f>
        <v>995.70135746606343</v>
      </c>
      <c r="N38" s="72">
        <f>U28</f>
        <v>1025.3031674208146</v>
      </c>
      <c r="O38" s="73">
        <f>D28+K28</f>
        <v>805.85941043083903</v>
      </c>
      <c r="P38" s="72">
        <f>Y28</f>
        <v>1319.3011494252876</v>
      </c>
      <c r="Q38" s="118">
        <f>SUM(B38:P38)-0.49</f>
        <v>14393.527084045392</v>
      </c>
      <c r="R38" s="42">
        <f>AA28</f>
        <v>521.98513194316297</v>
      </c>
    </row>
    <row r="39" spans="1:28" s="54" customFormat="1" ht="18" customHeight="1" x14ac:dyDescent="0.25">
      <c r="A39" s="74" t="s">
        <v>61</v>
      </c>
      <c r="B39" s="75">
        <v>7.7499999999999999E-2</v>
      </c>
      <c r="C39" s="76">
        <v>7.7499999999999999E-2</v>
      </c>
      <c r="D39" s="76">
        <v>8.7499999999999994E-2</v>
      </c>
      <c r="E39" s="155">
        <v>0.1075</v>
      </c>
      <c r="F39" s="155">
        <v>9.7500000000000003E-2</v>
      </c>
      <c r="G39" s="155">
        <v>0.105</v>
      </c>
      <c r="H39" s="155">
        <v>0.105</v>
      </c>
      <c r="I39" s="155">
        <v>0.10249999999999999</v>
      </c>
      <c r="J39" s="155">
        <v>0.105</v>
      </c>
      <c r="K39" s="76">
        <v>9.2499999999999999E-2</v>
      </c>
      <c r="L39" s="155">
        <v>0.105</v>
      </c>
      <c r="M39" s="155">
        <v>0.105</v>
      </c>
      <c r="N39" s="155">
        <v>0.105</v>
      </c>
      <c r="O39" s="157">
        <v>0.10249999999999999</v>
      </c>
      <c r="P39" s="76">
        <v>8.7499999999999994E-2</v>
      </c>
      <c r="Q39" s="119"/>
      <c r="R39" s="74">
        <v>8.3799999999999999E-2</v>
      </c>
    </row>
    <row r="40" spans="1:28" s="54" customFormat="1" ht="18" customHeight="1" thickBot="1" x14ac:dyDescent="0.3">
      <c r="A40" s="78" t="s">
        <v>81</v>
      </c>
      <c r="B40" s="79">
        <f>B38*B39</f>
        <v>18.774060324825985</v>
      </c>
      <c r="C40" s="80">
        <f t="shared" ref="C40:P40" si="4">C38*C39</f>
        <v>17.041526195899774</v>
      </c>
      <c r="D40" s="80">
        <f t="shared" si="4"/>
        <v>6.182528735632185</v>
      </c>
      <c r="E40" s="80">
        <f t="shared" si="4"/>
        <v>161.44995485327317</v>
      </c>
      <c r="F40" s="80">
        <f t="shared" si="4"/>
        <v>478.52378132118457</v>
      </c>
      <c r="G40" s="80">
        <f t="shared" si="4"/>
        <v>94.800271493212662</v>
      </c>
      <c r="H40" s="80">
        <f t="shared" si="4"/>
        <v>25.218054298642539</v>
      </c>
      <c r="I40" s="80">
        <f t="shared" si="4"/>
        <v>26.459410430839004</v>
      </c>
      <c r="J40" s="80">
        <f t="shared" si="4"/>
        <v>94.259592760180993</v>
      </c>
      <c r="K40" s="80">
        <f t="shared" si="4"/>
        <v>55.787025171624713</v>
      </c>
      <c r="L40" s="80">
        <f t="shared" si="4"/>
        <v>42.343981900452491</v>
      </c>
      <c r="M40" s="80">
        <f t="shared" si="4"/>
        <v>104.54864253393666</v>
      </c>
      <c r="N40" s="80">
        <f t="shared" si="4"/>
        <v>107.65683257918553</v>
      </c>
      <c r="O40" s="81">
        <f t="shared" si="4"/>
        <v>82.600589569161002</v>
      </c>
      <c r="P40" s="80">
        <f t="shared" si="4"/>
        <v>115.43885057471266</v>
      </c>
      <c r="Q40" s="138">
        <f>SUM(B40:P40)+0.49</f>
        <v>1431.5751027427639</v>
      </c>
      <c r="R40" s="137">
        <f>R38*R39+0.02</f>
        <v>43.762354056837061</v>
      </c>
    </row>
    <row r="41" spans="1:28" ht="18" customHeight="1" thickBot="1" x14ac:dyDescent="0.3">
      <c r="A41" s="49" t="s">
        <v>4</v>
      </c>
      <c r="B41" s="82">
        <f>B38+B40</f>
        <v>261.02</v>
      </c>
      <c r="C41" s="83">
        <f t="shared" ref="C41:R41" si="5">C38+C40</f>
        <v>236.93218678815489</v>
      </c>
      <c r="D41" s="83">
        <f t="shared" si="5"/>
        <v>76.840000000000018</v>
      </c>
      <c r="E41" s="83">
        <f t="shared" si="5"/>
        <v>1663.3100000000002</v>
      </c>
      <c r="F41" s="83">
        <f t="shared" si="5"/>
        <v>5386.46</v>
      </c>
      <c r="G41" s="83">
        <f t="shared" si="5"/>
        <v>997.66</v>
      </c>
      <c r="H41" s="83">
        <f t="shared" si="5"/>
        <v>265.39000000000004</v>
      </c>
      <c r="I41" s="83">
        <f t="shared" si="5"/>
        <v>284.60000000000002</v>
      </c>
      <c r="J41" s="83">
        <f t="shared" si="5"/>
        <v>991.97</v>
      </c>
      <c r="K41" s="83">
        <f t="shared" si="5"/>
        <v>658.89</v>
      </c>
      <c r="L41" s="83">
        <f t="shared" si="5"/>
        <v>445.62</v>
      </c>
      <c r="M41" s="83">
        <f t="shared" si="5"/>
        <v>1100.25</v>
      </c>
      <c r="N41" s="83">
        <f t="shared" si="5"/>
        <v>1132.96</v>
      </c>
      <c r="O41" s="84">
        <f t="shared" si="5"/>
        <v>888.46</v>
      </c>
      <c r="P41" s="83">
        <f t="shared" si="5"/>
        <v>1434.7400000000002</v>
      </c>
      <c r="Q41" s="120">
        <f>SUM(B41:P41)</f>
        <v>15825.102186788152</v>
      </c>
      <c r="R41" s="85">
        <f t="shared" si="5"/>
        <v>565.74748599999998</v>
      </c>
    </row>
  </sheetData>
  <pageMargins left="0.25" right="0" top="0.25" bottom="0" header="0.3" footer="0.3"/>
  <pageSetup scale="49" orientation="landscape" r:id="rId1"/>
  <colBreaks count="1" manualBreakCount="1">
    <brk id="1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13FF982692A145857EFEDB58B86FDC" ma:contentTypeVersion="11" ma:contentTypeDescription="Create a new document." ma:contentTypeScope="" ma:versionID="14595a14ad5d746bfeaf503b9fd63adb">
  <xsd:schema xmlns:xsd="http://www.w3.org/2001/XMLSchema" xmlns:xs="http://www.w3.org/2001/XMLSchema" xmlns:p="http://schemas.microsoft.com/office/2006/metadata/properties" xmlns:ns2="e89296c7-c6fa-463a-b6b1-3a832ce38680" xmlns:ns3="2b0e7abb-71fa-42da-9f51-664761cd8323" targetNamespace="http://schemas.microsoft.com/office/2006/metadata/properties" ma:root="true" ma:fieldsID="a80522c57eeda920a78202c1e72b42db" ns2:_="" ns3:_="">
    <xsd:import namespace="e89296c7-c6fa-463a-b6b1-3a832ce38680"/>
    <xsd:import namespace="2b0e7abb-71fa-42da-9f51-664761cd83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9296c7-c6fa-463a-b6b1-3a832ce386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bd8eb9a2-c0ad-4a38-b8af-927be22d32c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0e7abb-71fa-42da-9f51-664761cd832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f5ece7e-e738-4d1d-99e0-32c7d60b9ba4}" ma:internalName="TaxCatchAll" ma:showField="CatchAllData" ma:web="2b0e7abb-71fa-42da-9f51-664761cd83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b0e7abb-71fa-42da-9f51-664761cd8323" xsi:nil="true"/>
    <lcf76f155ced4ddcb4097134ff3c332f xmlns="e89296c7-c6fa-463a-b6b1-3a832ce3868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2BC48D3-9871-450B-B989-94EA669F9B08}"/>
</file>

<file path=customXml/itemProps2.xml><?xml version="1.0" encoding="utf-8"?>
<ds:datastoreItem xmlns:ds="http://schemas.openxmlformats.org/officeDocument/2006/customXml" ds:itemID="{A0BD69A3-7C82-4CB4-A2CF-562D83C0FF6D}"/>
</file>

<file path=customXml/itemProps3.xml><?xml version="1.0" encoding="utf-8"?>
<ds:datastoreItem xmlns:ds="http://schemas.openxmlformats.org/officeDocument/2006/customXml" ds:itemID="{9B3E3494-BC29-46DD-B5C9-102D066894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Summary</vt:lpstr>
      <vt:lpstr>2026</vt:lpstr>
      <vt:lpstr>P13</vt:lpstr>
      <vt:lpstr>P12</vt:lpstr>
      <vt:lpstr>P11</vt:lpstr>
      <vt:lpstr>P10</vt:lpstr>
      <vt:lpstr>P9</vt:lpstr>
      <vt:lpstr>P8</vt:lpstr>
      <vt:lpstr>P7</vt:lpstr>
      <vt:lpstr>P6</vt:lpstr>
      <vt:lpstr>P5</vt:lpstr>
      <vt:lpstr>P4</vt:lpstr>
      <vt:lpstr>P3</vt:lpstr>
      <vt:lpstr>P2</vt:lpstr>
      <vt:lpstr>P1</vt:lpstr>
      <vt:lpstr>'2026'!Print_Area</vt:lpstr>
      <vt:lpstr>'P1'!Print_Area</vt:lpstr>
      <vt:lpstr>'P10'!Print_Area</vt:lpstr>
      <vt:lpstr>'P11'!Print_Area</vt:lpstr>
      <vt:lpstr>'P12'!Print_Area</vt:lpstr>
      <vt:lpstr>'P13'!Print_Area</vt:lpstr>
      <vt:lpstr>'P2'!Print_Area</vt:lpstr>
      <vt:lpstr>'P3'!Print_Area</vt:lpstr>
      <vt:lpstr>'P4'!Print_Area</vt:lpstr>
      <vt:lpstr>'P5'!Print_Area</vt:lpstr>
      <vt:lpstr>'P6'!Print_Area</vt:lpstr>
      <vt:lpstr>'P7'!Print_Area</vt:lpstr>
      <vt:lpstr>'P8'!Print_Area</vt:lpstr>
      <vt:lpstr>'P9'!Print_Area</vt:lpstr>
      <vt:lpstr>Summary!Print_Area</vt:lpstr>
    </vt:vector>
  </TitlesOfParts>
  <Company>MWB ENTERPRIZES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&amp; MARY BRUSEHABER</dc:creator>
  <cp:lastModifiedBy>Xiomara Magana</cp:lastModifiedBy>
  <cp:lastPrinted>2025-11-12T22:29:43Z</cp:lastPrinted>
  <dcterms:created xsi:type="dcterms:W3CDTF">1998-02-18T01:45:58Z</dcterms:created>
  <dcterms:modified xsi:type="dcterms:W3CDTF">2026-10-02T21:59:43Z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0x0101006213FF982692A145857EFEDB58B86FDC</vt:lpwstr>
  </property>
</Properties>
</file>