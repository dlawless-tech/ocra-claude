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83EF1DF9-BA84-461B-B100-FF818100B873}" xr6:coauthVersionLast="47" xr6:coauthVersionMax="47" xr10:uidLastSave="{00000000-0000-0000-0000-000000000000}"/>
  <bookViews>
    <workbookView xWindow="-49020" yWindow="1545" windowWidth="15525" windowHeight="15510" xr2:uid="{6CB177A4-764B-4331-AC8A-02591DFB4B6F}"/>
  </bookViews>
  <sheets>
    <sheet name="Oct'26" sheetId="401" r:id="rId1"/>
    <sheet name="10.4" sheetId="402" r:id="rId2"/>
    <sheet name="Sept'26" sheetId="403" r:id="rId3"/>
    <sheet name="9.30" sheetId="400" r:id="rId4"/>
    <sheet name="9.27" sheetId="399" r:id="rId5"/>
    <sheet name="9.20" sheetId="398" r:id="rId6"/>
    <sheet name="9.13" sheetId="396" r:id="rId7"/>
    <sheet name="9.6" sheetId="397" r:id="rId8"/>
    <sheet name="Aug'26" sheetId="392" r:id="rId9"/>
    <sheet name="8.31" sheetId="391" r:id="rId10"/>
    <sheet name="8.27" sheetId="389" r:id="rId11"/>
    <sheet name="8.22" sheetId="388" r:id="rId12"/>
    <sheet name="8.16" sheetId="387" r:id="rId13"/>
    <sheet name="8.12" sheetId="386" r:id="rId14"/>
    <sheet name="8.5" sheetId="381" r:id="rId15"/>
    <sheet name="July'26" sheetId="39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3" l="1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<sst xmlns="http://schemas.openxmlformats.org/spreadsheetml/2006/main" count="885" uniqueCount="94">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</sst>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46296</v>
      </c>
      <c r="I8" s="2" t="s">
        <v>65</v>
      </c>
      <c r="J8" s="22">
        <v>3040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46292</v>
      </c>
      <c r="I9" s="2" t="s">
        <v>80</v>
      </c>
      <c r="J9" s="22">
        <v>546.35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/>
      <c r="J10" s="22"/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/>
      <c r="J11" s="22"/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/>
      <c r="J12" s="22"/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/>
      <c r="J13" s="22"/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21">
        <v>2000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21">
        <v>600</v>
      </c>
      <c r="F27" s="4"/>
      <c r="G27" s="4"/>
      <c r="H27" s="16"/>
      <c r="J27" s="22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21">
        <v>1750</v>
      </c>
      <c r="F28" s="4"/>
      <c r="G28" s="4"/>
      <c r="H28" s="16"/>
      <c r="J28" s="22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21">
        <v>6000</v>
      </c>
      <c r="F29" s="4"/>
      <c r="G29" s="4"/>
      <c r="H29" s="16"/>
      <c r="J29" s="22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21">
        <v>1660.97</v>
      </c>
      <c r="F30" s="4"/>
      <c r="G30" s="4"/>
      <c r="H30" s="16"/>
      <c r="J30" s="22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21">
        <v>1875</v>
      </c>
      <c r="F31" s="4"/>
      <c r="G31" s="4"/>
      <c r="H31" s="16"/>
      <c r="J31" s="22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21">
        <v>5000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21">
        <v>996.58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21">
        <v>430.85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21">
        <v>547.62</v>
      </c>
      <c r="G35" s="4"/>
      <c r="H35" s="9"/>
      <c r="I35" s="6"/>
      <c r="J35" s="22"/>
      <c r="K35" s="22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21">
        <v>430.85</v>
      </c>
      <c r="G36" s="4"/>
      <c r="H36" s="9"/>
      <c r="I36" s="6"/>
      <c r="J36" s="22"/>
      <c r="K36" s="22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21">
        <v>825</v>
      </c>
      <c r="G37" s="4"/>
      <c r="H37" s="9"/>
      <c r="I37" s="6"/>
      <c r="J37" s="22"/>
      <c r="K37" s="22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21">
        <v>1875</v>
      </c>
      <c r="G38" s="4"/>
      <c r="H38" s="9"/>
      <c r="I38" s="6"/>
      <c r="J38" s="22"/>
      <c r="K38" s="22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21">
        <v>1750</v>
      </c>
      <c r="G39" s="4"/>
      <c r="H39" s="9"/>
      <c r="I39" s="6"/>
      <c r="J39" s="22"/>
      <c r="K39" s="22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21">
        <v>12500</v>
      </c>
      <c r="G40" s="4"/>
      <c r="H40" s="9"/>
      <c r="I40" s="6"/>
      <c r="J40" s="22"/>
      <c r="K40" s="22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J42" s="22"/>
      <c r="K42" s="22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21">
        <v>996.58</v>
      </c>
      <c r="F43" s="4"/>
      <c r="G43" s="4"/>
      <c r="H43" s="16"/>
      <c r="J43" s="22"/>
      <c r="K43" s="21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21">
        <v>600</v>
      </c>
      <c r="F44" s="4"/>
      <c r="G44" s="4"/>
      <c r="H44" s="16"/>
      <c r="J44" s="22"/>
      <c r="K44" s="21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J45" s="22"/>
      <c r="K45" s="21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21">
        <v>500</v>
      </c>
      <c r="G46" s="4"/>
      <c r="H46" s="9"/>
      <c r="J46" s="22"/>
      <c r="K46" s="21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21">
        <v>1500</v>
      </c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124048.45000000001</v>
      </c>
      <c r="F56" s="6"/>
      <c r="G56" s="6"/>
      <c r="H56" s="9"/>
      <c r="J56" s="14">
        <f>SUM(J8:J55)</f>
        <v>3586.35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Oct'26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2026-10-13T16:11:39Z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