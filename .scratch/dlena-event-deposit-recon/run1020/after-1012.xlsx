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ocra-claude\.scratch\dlena-event-deposit-recon\run1020\"/>
    </mc:Choice>
  </mc:AlternateContent>
  <xr:revisionPtr revIDLastSave="0" documentId="13_ncr:1_{9BD28469-E2AC-4BB2-B999-BD5B1338525E}" xr6:coauthVersionLast="47" xr6:coauthVersionMax="47" xr10:uidLastSave="{00000000-0000-0000-0000-000000000000}"/>
  <bookViews>
    <workbookView xWindow="-62664" yWindow="2352" windowWidth="21600" windowHeight="11292" activeTab="1" xr2:uid="{6CB177A4-764B-4331-AC8A-02591DFB4B6F}"/>
  </bookViews>
  <sheets>
    <sheet name="Oct'26" sheetId="401" r:id="rId1"/>
    <sheet name="10.18" sheetId="405" r:id="rId2"/>
    <sheet name="10.11" sheetId="404" r:id="rId3"/>
    <sheet name="10.4" sheetId="402" r:id="rId4"/>
    <sheet name="Sept'26" sheetId="403" r:id="rId5"/>
    <sheet name="9.30" sheetId="400" r:id="rId6"/>
    <sheet name="9.27" sheetId="399" r:id="rId7"/>
    <sheet name="9.20" sheetId="398" r:id="rId8"/>
    <sheet name="9.13" sheetId="396" r:id="rId9"/>
    <sheet name="9.6" sheetId="397" r:id="rId10"/>
    <sheet name="Aug'26" sheetId="392" r:id="rId11"/>
    <sheet name="8.31" sheetId="391" r:id="rId12"/>
    <sheet name="8.27" sheetId="389" r:id="rId13"/>
    <sheet name="8.22" sheetId="388" r:id="rId14"/>
    <sheet name="8.16" sheetId="387" r:id="rId15"/>
    <sheet name="8.12" sheetId="386" r:id="rId16"/>
    <sheet name="8.5" sheetId="381" r:id="rId17"/>
    <sheet name="July'26" sheetId="395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5" l="1"/>
  <c r="E56" i="405"/>
  <c r="J56" i="404"/>
  <c r="E56" i="404"/>
  <c r="J56" i="403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<sst xmlns="http://schemas.openxmlformats.org/spreadsheetml/2006/main" count="1005" uniqueCount="101">
  <si>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</si>
  <si>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</si>
  <si>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</si>
  <si>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</si>
  <si>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</si>
  <si>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</si>
  <si>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</si>
  <si>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</si>
  <si>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</si>
  <si>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</si>
  <si>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</si>
  <si>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</si>
  <si>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</si>
  <si>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</si>
  <si>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</si>
  <si>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</si>
  <si>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</si>
  <si>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</si>
  <si>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</si>
  <si>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</si>
  <si>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</si>
  <si>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</si>
  <si>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</si>
  <si>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</si>
  <si>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</si>
  <si>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</si>
  <si>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</si>
  <si>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</si>
  <si>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</si>
  <si>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</si>
  <si>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</si>
  <si>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</si>
  <si>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</si>
  <si>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</si>
  <si>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</si>
  <si>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</si>
  <si>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</si>
  <si>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</si>
  <si>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</si>
  <si>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</si>
  <si>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</si>
  <si>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</si>
  <si>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</si>
  <si>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</si>
  <si>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</si>
  <si>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</si>
  <si>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</si>
  <si>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</si>
  <si>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</si>
  <si>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</si>
  <si>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</si>
  <si>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</si>
  <si>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</si>
  <si>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</si>
  <si>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</si>
  <si>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</si>
  <si>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</si>
  <si>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</si>
  <si>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</si>
  <si>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</si>
  <si>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</si>
  <si>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</si>
  <si>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</si>
  <si>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</si>
  <si>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</si>
  <si>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</si>
  <si>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</si>
  <si>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</si>
  <si>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</si>
  <si>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</si>
  <si>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</si>
  <si>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</si>
  <si>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</si>
  <si>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</si>
  <si>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</si>
  <si>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</si>
  <si>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</si>
  <si>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</si>
  <si>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</si>
  <si>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</si>
  <si>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</si>
  <si>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</si>
  <si>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</si>
  <si>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</si>
  <si>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</si>
  <si>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</si>
  <si>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</si>
  <si>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</si>
  <si>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</si>
  <si>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</si>
  <si>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</si>
  <si>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</si>
  <si>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</si>
  <si>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</si>
  <si>
    <t>PAC Appreciation Dinner</t>
  </si>
  <si>
    <t>Senator Sheldon Whitehouse Fundraiser</t>
  </si>
  <si>
    <t>Scoot Education's Business Dinner</t>
  </si>
  <si>
    <t>McKinsey's Business meeting</t>
  </si>
  <si>
    <t>Joelle's Farewell Dinner</t>
  </si>
  <si>
    <t>Yale Alumni Reception</t>
  </si>
  <si>
    <t>Fiyin's Birthday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</si>
</sst>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1" applyNumberFormat="1" applyFont="1"/>
    <xf numFmtId="43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8EA5-267A-4A0B-8A9C-963CF17B42EA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21">
        <v>6000</v>
      </c>
      <c r="F8" s="4"/>
      <c r="G8" s="4"/>
      <c r="H8" s="16">
        <v>46307</v>
      </c>
      <c r="I8" s="2" t="s">
        <v>16</v>
      </c>
      <c r="J8" s="22">
        <v>9000</v>
      </c>
      <c r="K8" s="21"/>
    </row>
    <row r="9" spans="1:11" x14ac:dyDescent="0.2">
      <c r="A9" s="6"/>
      <c r="B9" s="9">
        <v>46262</v>
      </c>
      <c r="C9" s="9">
        <v>46513</v>
      </c>
      <c r="D9" s="6" t="s">
        <v>50</v>
      </c>
      <c r="E9" s="21">
        <v>2250</v>
      </c>
      <c r="F9" s="4"/>
      <c r="G9" s="4"/>
      <c r="H9" s="16">
        <v>46307</v>
      </c>
      <c r="I9" s="2" t="s">
        <v>16</v>
      </c>
      <c r="J9" s="22">
        <v>2681.4</v>
      </c>
      <c r="K9" s="21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21">
        <v>1750</v>
      </c>
      <c r="F10" s="4"/>
      <c r="G10" s="4"/>
      <c r="H10" s="16">
        <v>46307</v>
      </c>
      <c r="I10" s="2" t="s">
        <v>16</v>
      </c>
      <c r="J10" s="22">
        <v>3984.44</v>
      </c>
      <c r="K10" s="21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21">
        <v>1875</v>
      </c>
      <c r="F11" s="4"/>
      <c r="G11" s="4"/>
      <c r="H11" s="16">
        <v>46307</v>
      </c>
      <c r="I11" s="2" t="s">
        <v>97</v>
      </c>
      <c r="J11" s="22">
        <v>2590.8000000000002</v>
      </c>
      <c r="K11" s="21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21">
        <v>4000</v>
      </c>
      <c r="F12" s="4"/>
      <c r="G12" s="4"/>
      <c r="H12" s="16">
        <v>46302</v>
      </c>
      <c r="I12" s="2" t="s">
        <v>96</v>
      </c>
      <c r="J12" s="22">
        <v>777.24</v>
      </c>
      <c r="K12" s="21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21">
        <v>1500</v>
      </c>
      <c r="F13" s="4"/>
      <c r="G13" s="4"/>
      <c r="H13" s="16">
        <v>46292</v>
      </c>
      <c r="I13" s="2" t="s">
        <v>80</v>
      </c>
      <c r="J13" s="22">
        <v>546.35</v>
      </c>
      <c r="K13" s="21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21">
        <v>10000</v>
      </c>
      <c r="F14" s="4"/>
      <c r="G14" s="4"/>
      <c r="H14" s="16"/>
      <c r="J14" s="22"/>
      <c r="K14" s="21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21">
        <v>3000</v>
      </c>
      <c r="F15" s="4"/>
      <c r="G15" s="4"/>
      <c r="H15" s="16"/>
      <c r="J15" s="22"/>
      <c r="K15" s="21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21">
        <v>6000</v>
      </c>
      <c r="F16" s="4"/>
      <c r="G16" s="4"/>
      <c r="H16" s="16"/>
      <c r="J16" s="22"/>
      <c r="K16" s="21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21">
        <v>5000</v>
      </c>
      <c r="F17" s="4"/>
      <c r="G17" s="4"/>
      <c r="H17" s="16"/>
      <c r="J17" s="22"/>
      <c r="K17" s="21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21">
        <v>6750</v>
      </c>
      <c r="F18" s="4"/>
      <c r="G18" s="4"/>
      <c r="H18" s="16"/>
      <c r="J18" s="22"/>
      <c r="K18" s="21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21">
        <v>5000</v>
      </c>
      <c r="F19" s="4"/>
      <c r="G19" s="4"/>
      <c r="H19" s="16"/>
      <c r="J19" s="22"/>
      <c r="K19" s="21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21">
        <v>1875</v>
      </c>
      <c r="F20" s="4"/>
      <c r="G20" s="4"/>
      <c r="H20" s="16"/>
      <c r="J20" s="22"/>
      <c r="K20" s="21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21">
        <v>6000</v>
      </c>
      <c r="F21" s="4"/>
      <c r="G21" s="4"/>
      <c r="H21" s="16"/>
      <c r="J21" s="22"/>
      <c r="K21" s="21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21">
        <v>1960</v>
      </c>
      <c r="F22" s="4"/>
      <c r="G22" s="4"/>
      <c r="H22" s="16"/>
      <c r="J22" s="22"/>
      <c r="K22" s="21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21">
        <v>7000</v>
      </c>
      <c r="F23" s="4"/>
      <c r="G23" s="4"/>
      <c r="H23" s="16"/>
      <c r="J23" s="22"/>
      <c r="K23" s="21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21">
        <v>3000</v>
      </c>
      <c r="F24" s="4"/>
      <c r="G24" s="4"/>
      <c r="H24" s="16"/>
      <c r="J24" s="22"/>
      <c r="K24" s="21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21">
        <v>1750</v>
      </c>
      <c r="F25" s="4"/>
      <c r="G25" s="4"/>
      <c r="H25" s="16"/>
      <c r="J25" s="22"/>
      <c r="K25" s="10"/>
    </row>
    <row r="26" spans="1:11" x14ac:dyDescent="0.2">
      <c r="A26" s="6"/>
      <c r="B26" s="9">
        <v>46302</v>
      </c>
      <c r="C26" s="9">
        <v>46343</v>
      </c>
      <c r="D26" s="6" t="s">
        <v>95</v>
      </c>
      <c r="E26" s="21">
        <v>1250</v>
      </c>
      <c r="F26" s="4"/>
      <c r="G26" s="4"/>
      <c r="H26" s="16"/>
      <c r="J26" s="22"/>
      <c r="K26" s="10"/>
    </row>
    <row r="27" spans="1:11" x14ac:dyDescent="0.2">
      <c r="A27" s="6"/>
      <c r="B27" s="9">
        <v>46289</v>
      </c>
      <c r="C27" s="9">
        <v>46330</v>
      </c>
      <c r="D27" s="6" t="s">
        <v>84</v>
      </c>
      <c r="E27" s="21">
        <v>2000</v>
      </c>
      <c r="F27" s="4"/>
      <c r="G27" s="4"/>
      <c r="H27" s="16"/>
      <c r="J27" s="22"/>
      <c r="K27" s="10"/>
    </row>
    <row r="28" spans="1:11" x14ac:dyDescent="0.2">
      <c r="A28" s="6"/>
      <c r="B28" s="9">
        <v>46295</v>
      </c>
      <c r="C28" s="9">
        <v>46330</v>
      </c>
      <c r="D28" s="6" t="s">
        <v>91</v>
      </c>
      <c r="E28" s="21">
        <v>600</v>
      </c>
      <c r="F28" s="4"/>
      <c r="G28" s="4"/>
      <c r="H28" s="16"/>
      <c r="J28" s="22"/>
      <c r="K28" s="10"/>
    </row>
    <row r="29" spans="1:11" x14ac:dyDescent="0.2">
      <c r="A29" s="6"/>
      <c r="B29" s="9">
        <v>46231</v>
      </c>
      <c r="C29" s="9">
        <v>46327</v>
      </c>
      <c r="D29" s="6" t="s">
        <v>29</v>
      </c>
      <c r="E29" s="21">
        <v>1750</v>
      </c>
      <c r="F29" s="4"/>
      <c r="G29" s="4"/>
      <c r="H29" s="16"/>
      <c r="J29" s="22"/>
      <c r="K29" s="10"/>
    </row>
    <row r="30" spans="1:11" x14ac:dyDescent="0.2">
      <c r="A30" s="6"/>
      <c r="B30" s="9">
        <v>46162</v>
      </c>
      <c r="C30" s="9">
        <v>46326</v>
      </c>
      <c r="D30" s="6" t="s">
        <v>13</v>
      </c>
      <c r="E30" s="21">
        <v>6000</v>
      </c>
      <c r="F30" s="4"/>
      <c r="G30" s="4"/>
      <c r="H30" s="16"/>
      <c r="J30" s="22"/>
      <c r="K30" s="10"/>
    </row>
    <row r="31" spans="1:11" x14ac:dyDescent="0.2">
      <c r="A31" s="6"/>
      <c r="B31" s="9">
        <v>46289</v>
      </c>
      <c r="C31" s="9">
        <v>46325</v>
      </c>
      <c r="D31" s="6" t="s">
        <v>7</v>
      </c>
      <c r="E31" s="21">
        <v>1660.97</v>
      </c>
      <c r="F31" s="4"/>
      <c r="G31" s="4"/>
      <c r="H31" s="16"/>
      <c r="J31" s="22"/>
      <c r="K31" s="10"/>
    </row>
    <row r="32" spans="1:11" x14ac:dyDescent="0.2">
      <c r="A32" s="6"/>
      <c r="B32" s="9">
        <v>46295</v>
      </c>
      <c r="C32" s="9">
        <v>46323</v>
      </c>
      <c r="D32" s="6" t="s">
        <v>92</v>
      </c>
      <c r="E32" s="21">
        <v>1875</v>
      </c>
      <c r="F32" s="4"/>
      <c r="G32" s="4"/>
      <c r="H32" s="9"/>
      <c r="I32" s="6"/>
      <c r="J32" s="22"/>
      <c r="K32" s="22"/>
    </row>
    <row r="33" spans="1:11" x14ac:dyDescent="0.2">
      <c r="A33" s="6"/>
      <c r="B33" s="9">
        <v>46304</v>
      </c>
      <c r="C33" s="9">
        <v>46322</v>
      </c>
      <c r="D33" s="6" t="s">
        <v>98</v>
      </c>
      <c r="E33" s="21">
        <v>715</v>
      </c>
      <c r="F33" s="4"/>
      <c r="G33" s="4"/>
      <c r="H33" s="9"/>
      <c r="I33" s="6"/>
      <c r="J33" s="22"/>
      <c r="K33" s="22"/>
    </row>
    <row r="34" spans="1:11" x14ac:dyDescent="0.2">
      <c r="A34" s="6"/>
      <c r="B34" s="9">
        <v>46300</v>
      </c>
      <c r="C34" s="9">
        <v>46319</v>
      </c>
      <c r="D34" s="6" t="s">
        <v>7</v>
      </c>
      <c r="E34" s="21">
        <v>996.58</v>
      </c>
      <c r="F34" s="4"/>
      <c r="G34" s="4"/>
      <c r="H34" s="9"/>
      <c r="I34" s="6"/>
      <c r="J34" s="22"/>
      <c r="K34" s="22"/>
    </row>
    <row r="35" spans="1:11" x14ac:dyDescent="0.2">
      <c r="A35" s="6"/>
      <c r="B35" s="9">
        <v>46232</v>
      </c>
      <c r="C35" s="9">
        <v>46318</v>
      </c>
      <c r="D35" s="6" t="s">
        <v>31</v>
      </c>
      <c r="E35" s="21">
        <v>5000</v>
      </c>
      <c r="G35" s="4"/>
      <c r="H35" s="9"/>
      <c r="I35" s="6"/>
      <c r="J35" s="22"/>
      <c r="K35" s="22"/>
    </row>
    <row r="36" spans="1:11" x14ac:dyDescent="0.2">
      <c r="A36" s="6"/>
      <c r="B36" s="9">
        <v>46264</v>
      </c>
      <c r="C36" s="9">
        <v>46318</v>
      </c>
      <c r="D36" s="6" t="s">
        <v>7</v>
      </c>
      <c r="E36" s="21">
        <v>996.58</v>
      </c>
      <c r="G36" s="4"/>
      <c r="H36" s="9"/>
      <c r="I36" s="6"/>
      <c r="J36" s="22"/>
      <c r="K36" s="22"/>
    </row>
    <row r="37" spans="1:11" x14ac:dyDescent="0.2">
      <c r="A37" s="6"/>
      <c r="B37" s="9">
        <v>46274</v>
      </c>
      <c r="C37" s="9">
        <v>46318</v>
      </c>
      <c r="D37" s="6" t="s">
        <v>7</v>
      </c>
      <c r="E37" s="21">
        <v>430.85</v>
      </c>
      <c r="G37" s="4"/>
      <c r="H37" s="9"/>
      <c r="I37" s="6"/>
      <c r="J37" s="22"/>
      <c r="K37" s="22"/>
    </row>
    <row r="38" spans="1:11" x14ac:dyDescent="0.2">
      <c r="A38" s="6"/>
      <c r="B38" s="9">
        <v>46304</v>
      </c>
      <c r="C38" s="9">
        <v>46317</v>
      </c>
      <c r="D38" s="6" t="s">
        <v>99</v>
      </c>
      <c r="E38" s="21">
        <v>2000</v>
      </c>
      <c r="G38" s="4"/>
      <c r="H38" s="9"/>
      <c r="I38" s="6"/>
      <c r="J38" s="22"/>
      <c r="K38" s="22"/>
    </row>
    <row r="39" spans="1:11" x14ac:dyDescent="0.2">
      <c r="A39" s="6"/>
      <c r="B39" s="9">
        <v>46301</v>
      </c>
      <c r="C39" s="9">
        <v>46316</v>
      </c>
      <c r="D39" s="6" t="s">
        <v>94</v>
      </c>
      <c r="E39" s="21">
        <v>4000</v>
      </c>
      <c r="G39" s="4"/>
      <c r="H39" s="9"/>
      <c r="I39" s="6"/>
      <c r="J39" s="22"/>
      <c r="K39" s="22"/>
    </row>
    <row r="40" spans="1:11" x14ac:dyDescent="0.2">
      <c r="A40" s="6"/>
      <c r="B40" s="9">
        <v>46295</v>
      </c>
      <c r="C40" s="9">
        <v>46312</v>
      </c>
      <c r="D40" s="6" t="s">
        <v>7</v>
      </c>
      <c r="E40" s="21">
        <v>547.62</v>
      </c>
      <c r="G40" s="4"/>
      <c r="H40" s="9"/>
      <c r="I40" s="6"/>
      <c r="J40" s="22"/>
      <c r="K40" s="22"/>
    </row>
    <row r="41" spans="1:11" x14ac:dyDescent="0.2">
      <c r="A41" s="6"/>
      <c r="B41" s="9">
        <v>46293</v>
      </c>
      <c r="C41" s="9">
        <v>46311</v>
      </c>
      <c r="D41" s="6" t="s">
        <v>7</v>
      </c>
      <c r="E41" s="10">
        <v>430.85</v>
      </c>
      <c r="F41" s="4"/>
      <c r="G41" s="4"/>
      <c r="H41" s="9"/>
      <c r="I41" s="6"/>
      <c r="J41" s="22"/>
      <c r="K41" s="22"/>
    </row>
    <row r="42" spans="1:11" x14ac:dyDescent="0.2">
      <c r="A42" s="6"/>
      <c r="B42" s="9">
        <v>46304</v>
      </c>
      <c r="C42" s="9">
        <v>46311</v>
      </c>
      <c r="D42" s="6" t="s">
        <v>100</v>
      </c>
      <c r="E42" s="10">
        <v>2500</v>
      </c>
      <c r="F42" s="4"/>
      <c r="G42" s="4"/>
      <c r="H42" s="9"/>
      <c r="J42" s="22"/>
      <c r="K42" s="22"/>
    </row>
    <row r="43" spans="1:11" x14ac:dyDescent="0.2">
      <c r="A43" s="6"/>
      <c r="B43" s="9">
        <v>46270</v>
      </c>
      <c r="C43" s="9">
        <v>46309</v>
      </c>
      <c r="D43" s="2" t="s">
        <v>69</v>
      </c>
      <c r="E43" s="21">
        <v>825</v>
      </c>
      <c r="F43" s="4"/>
      <c r="G43" s="4"/>
      <c r="H43" s="16"/>
      <c r="J43" s="22"/>
      <c r="K43" s="21"/>
    </row>
    <row r="44" spans="1:11" x14ac:dyDescent="0.2">
      <c r="A44" s="6"/>
      <c r="B44" s="9">
        <v>46281</v>
      </c>
      <c r="C44" s="9">
        <v>46309</v>
      </c>
      <c r="D44" s="2" t="s">
        <v>77</v>
      </c>
      <c r="E44" s="21">
        <v>1875</v>
      </c>
      <c r="F44" s="4"/>
      <c r="G44" s="4"/>
      <c r="H44" s="16"/>
      <c r="J44" s="22"/>
      <c r="K44" s="21"/>
    </row>
    <row r="45" spans="1:11" x14ac:dyDescent="0.2">
      <c r="A45" s="6"/>
      <c r="B45" s="9">
        <v>46193</v>
      </c>
      <c r="C45" s="9">
        <v>46308</v>
      </c>
      <c r="D45" s="2" t="s">
        <v>15</v>
      </c>
      <c r="E45" s="10">
        <v>1750</v>
      </c>
      <c r="F45" s="4"/>
      <c r="G45" s="4"/>
      <c r="H45" s="9"/>
      <c r="J45" s="22"/>
      <c r="K45" s="21"/>
    </row>
    <row r="46" spans="1:11" x14ac:dyDescent="0.2">
      <c r="A46" s="6"/>
      <c r="B46" s="9">
        <v>46267</v>
      </c>
      <c r="C46" s="9">
        <v>46308</v>
      </c>
      <c r="D46" s="2" t="s">
        <v>62</v>
      </c>
      <c r="E46" s="21">
        <v>12500</v>
      </c>
      <c r="G46" s="4"/>
      <c r="H46" s="9"/>
      <c r="J46" s="22"/>
      <c r="K46" s="21"/>
    </row>
    <row r="47" spans="1:11" x14ac:dyDescent="0.2">
      <c r="A47" s="6"/>
      <c r="B47" s="9">
        <v>46289</v>
      </c>
      <c r="C47" s="9">
        <v>46308</v>
      </c>
      <c r="D47" s="2" t="s">
        <v>85</v>
      </c>
      <c r="E47" s="21">
        <v>1750</v>
      </c>
      <c r="G47" s="4"/>
      <c r="H47" s="9"/>
      <c r="J47" s="22"/>
      <c r="K47" s="21"/>
    </row>
    <row r="48" spans="1:11" x14ac:dyDescent="0.2">
      <c r="A48" s="6"/>
      <c r="B48" s="9"/>
      <c r="C48" s="9"/>
      <c r="E48" s="21"/>
      <c r="G48" s="4"/>
      <c r="H48" s="9"/>
      <c r="J48" s="22"/>
      <c r="K48" s="21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J55" s="22"/>
      <c r="K55" s="10"/>
    </row>
    <row r="56" spans="1:15" ht="13.5" thickBot="1" x14ac:dyDescent="0.25">
      <c r="A56" s="6"/>
      <c r="B56" s="9"/>
      <c r="C56" s="9"/>
      <c r="E56" s="14">
        <f>SUM(E7:E55)</f>
        <v>126163.45000000001</v>
      </c>
      <c r="F56" s="6"/>
      <c r="G56" s="6"/>
      <c r="H56" s="9"/>
      <c r="J56" s="14">
        <f>SUM(J8:J55)</f>
        <v>19580.23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019-64F1-4A62-AA7A-E9C215FE46EC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46302</v>
      </c>
      <c r="I8" s="2" t="s">
        <v>96</v>
      </c>
      <c r="J8" s="5">
        <v>777.24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80</v>
      </c>
      <c r="J9" s="5">
        <v>546.35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46302</v>
      </c>
      <c r="C26" s="9">
        <v>46343</v>
      </c>
      <c r="D26" s="6" t="s">
        <v>95</v>
      </c>
      <c r="E26" s="4">
        <v>1250</v>
      </c>
      <c r="F26" s="4"/>
      <c r="G26" s="4"/>
      <c r="H26" s="16"/>
      <c r="K26" s="10"/>
    </row>
    <row r="27" spans="1:11" x14ac:dyDescent="0.2">
      <c r="A27" s="6"/>
      <c r="B27" s="9">
        <v>46289</v>
      </c>
      <c r="C27" s="9">
        <v>46330</v>
      </c>
      <c r="D27" s="6" t="s">
        <v>84</v>
      </c>
      <c r="E27" s="4">
        <v>2000</v>
      </c>
      <c r="F27" s="4"/>
      <c r="G27" s="4"/>
      <c r="H27" s="16"/>
      <c r="K27" s="10"/>
    </row>
    <row r="28" spans="1:11" x14ac:dyDescent="0.2">
      <c r="A28" s="6"/>
      <c r="B28" s="9">
        <v>46295</v>
      </c>
      <c r="C28" s="9">
        <v>46330</v>
      </c>
      <c r="D28" s="6" t="s">
        <v>91</v>
      </c>
      <c r="E28" s="4">
        <v>600</v>
      </c>
      <c r="F28" s="4"/>
      <c r="G28" s="4"/>
      <c r="H28" s="16"/>
      <c r="K28" s="10"/>
    </row>
    <row r="29" spans="1:11" x14ac:dyDescent="0.2">
      <c r="A29" s="6"/>
      <c r="B29" s="9">
        <v>46231</v>
      </c>
      <c r="C29" s="9">
        <v>46327</v>
      </c>
      <c r="D29" s="6" t="s">
        <v>29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46162</v>
      </c>
      <c r="C30" s="9">
        <v>46326</v>
      </c>
      <c r="D30" s="6" t="s">
        <v>13</v>
      </c>
      <c r="E30" s="4">
        <v>6000</v>
      </c>
      <c r="F30" s="4"/>
      <c r="G30" s="4"/>
      <c r="H30" s="16"/>
      <c r="K30" s="10"/>
    </row>
    <row r="31" spans="1:11" x14ac:dyDescent="0.2">
      <c r="A31" s="6"/>
      <c r="B31" s="9">
        <v>46289</v>
      </c>
      <c r="C31" s="9">
        <v>46325</v>
      </c>
      <c r="D31" s="6" t="s">
        <v>7</v>
      </c>
      <c r="E31" s="4">
        <v>1660.97</v>
      </c>
      <c r="F31" s="4"/>
      <c r="G31" s="4"/>
      <c r="H31" s="16"/>
      <c r="K31" s="10"/>
    </row>
    <row r="32" spans="1:11" x14ac:dyDescent="0.2">
      <c r="A32" s="6"/>
      <c r="B32" s="9">
        <v>46295</v>
      </c>
      <c r="C32" s="9">
        <v>46323</v>
      </c>
      <c r="D32" s="6" t="s">
        <v>92</v>
      </c>
      <c r="E32" s="4">
        <v>1875</v>
      </c>
      <c r="F32" s="4"/>
      <c r="G32" s="4"/>
      <c r="H32" s="9"/>
      <c r="I32" s="6"/>
      <c r="K32" s="5"/>
    </row>
    <row r="33" spans="1:11" x14ac:dyDescent="0.2">
      <c r="A33" s="6"/>
      <c r="B33" s="9">
        <v>46304</v>
      </c>
      <c r="C33" s="9">
        <v>46322</v>
      </c>
      <c r="D33" s="6" t="s">
        <v>98</v>
      </c>
      <c r="E33" s="4">
        <v>715</v>
      </c>
      <c r="F33" s="4"/>
      <c r="G33" s="4"/>
      <c r="H33" s="9"/>
      <c r="I33" s="6"/>
      <c r="K33" s="5"/>
    </row>
    <row r="34" spans="1:11" x14ac:dyDescent="0.2">
      <c r="A34" s="6"/>
      <c r="B34" s="9">
        <v>46300</v>
      </c>
      <c r="C34" s="9">
        <v>46319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46232</v>
      </c>
      <c r="C35" s="9">
        <v>46318</v>
      </c>
      <c r="D35" s="6" t="s">
        <v>31</v>
      </c>
      <c r="E35" s="4">
        <v>5000</v>
      </c>
      <c r="G35" s="4"/>
      <c r="H35" s="9"/>
      <c r="I35" s="6"/>
      <c r="K35" s="5"/>
    </row>
    <row r="36" spans="1:11" x14ac:dyDescent="0.2">
      <c r="A36" s="6"/>
      <c r="B36" s="9">
        <v>46264</v>
      </c>
      <c r="C36" s="9">
        <v>46318</v>
      </c>
      <c r="D36" s="6" t="s">
        <v>7</v>
      </c>
      <c r="E36" s="4">
        <v>996.58</v>
      </c>
      <c r="G36" s="4"/>
      <c r="H36" s="9"/>
      <c r="I36" s="6"/>
      <c r="K36" s="5"/>
    </row>
    <row r="37" spans="1:11" x14ac:dyDescent="0.2">
      <c r="A37" s="6"/>
      <c r="B37" s="9">
        <v>46274</v>
      </c>
      <c r="C37" s="9">
        <v>46318</v>
      </c>
      <c r="D37" s="6" t="s">
        <v>7</v>
      </c>
      <c r="E37" s="4">
        <v>430.85</v>
      </c>
      <c r="G37" s="4"/>
      <c r="H37" s="9"/>
      <c r="I37" s="6"/>
      <c r="K37" s="5"/>
    </row>
    <row r="38" spans="1:11" x14ac:dyDescent="0.2">
      <c r="A38" s="6"/>
      <c r="B38" s="9">
        <v>46304</v>
      </c>
      <c r="C38" s="9">
        <v>46317</v>
      </c>
      <c r="D38" s="6" t="s">
        <v>99</v>
      </c>
      <c r="E38" s="4">
        <v>2000</v>
      </c>
      <c r="G38" s="4"/>
      <c r="H38" s="9"/>
      <c r="I38" s="6"/>
      <c r="K38" s="5"/>
    </row>
    <row r="39" spans="1:11" x14ac:dyDescent="0.2">
      <c r="A39" s="6"/>
      <c r="B39" s="9">
        <v>46301</v>
      </c>
      <c r="C39" s="9">
        <v>46316</v>
      </c>
      <c r="D39" s="6" t="s">
        <v>94</v>
      </c>
      <c r="E39" s="4">
        <v>4000</v>
      </c>
      <c r="G39" s="4"/>
      <c r="H39" s="9"/>
      <c r="I39" s="6"/>
      <c r="K39" s="5"/>
    </row>
    <row r="40" spans="1:11" x14ac:dyDescent="0.2">
      <c r="A40" s="6"/>
      <c r="B40" s="9">
        <v>46295</v>
      </c>
      <c r="C40" s="9">
        <v>46312</v>
      </c>
      <c r="D40" s="6" t="s">
        <v>7</v>
      </c>
      <c r="E40" s="4">
        <v>547.62</v>
      </c>
      <c r="G40" s="4"/>
      <c r="H40" s="9"/>
      <c r="I40" s="6"/>
      <c r="K40" s="5"/>
    </row>
    <row r="41" spans="1:11" x14ac:dyDescent="0.2">
      <c r="A41" s="6"/>
      <c r="B41" s="9">
        <v>46293</v>
      </c>
      <c r="C41" s="9">
        <v>46311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46304</v>
      </c>
      <c r="C42" s="9">
        <v>46311</v>
      </c>
      <c r="D42" s="6" t="s">
        <v>100</v>
      </c>
      <c r="E42" s="10">
        <v>2500</v>
      </c>
      <c r="F42" s="4"/>
      <c r="G42" s="4"/>
      <c r="H42" s="9"/>
      <c r="K42" s="5"/>
    </row>
    <row r="43" spans="1:11" x14ac:dyDescent="0.2">
      <c r="A43" s="6"/>
      <c r="B43" s="9">
        <v>46270</v>
      </c>
      <c r="C43" s="9">
        <v>46309</v>
      </c>
      <c r="D43" s="2" t="s">
        <v>69</v>
      </c>
      <c r="E43" s="4">
        <v>825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46309</v>
      </c>
      <c r="D44" s="2" t="s">
        <v>77</v>
      </c>
      <c r="E44" s="4">
        <v>1875</v>
      </c>
      <c r="F44" s="4"/>
      <c r="G44" s="4"/>
      <c r="H44" s="16"/>
      <c r="K44" s="4"/>
    </row>
    <row r="45" spans="1:11" x14ac:dyDescent="0.2">
      <c r="A45" s="6"/>
      <c r="B45" s="9">
        <v>46193</v>
      </c>
      <c r="C45" s="9">
        <v>46308</v>
      </c>
      <c r="D45" s="2" t="s">
        <v>15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46308</v>
      </c>
      <c r="D46" s="2" t="s">
        <v>62</v>
      </c>
      <c r="E46" s="4">
        <v>12500</v>
      </c>
      <c r="G46" s="4"/>
      <c r="H46" s="9"/>
      <c r="K46" s="4"/>
    </row>
    <row r="47" spans="1:11" x14ac:dyDescent="0.2">
      <c r="A47" s="6"/>
      <c r="B47" s="9">
        <v>46289</v>
      </c>
      <c r="C47" s="9">
        <v>46308</v>
      </c>
      <c r="D47" s="2" t="s">
        <v>85</v>
      </c>
      <c r="E47" s="4">
        <v>1750</v>
      </c>
      <c r="G47" s="4"/>
      <c r="H47" s="9"/>
      <c r="K47" s="4"/>
    </row>
    <row r="48" spans="1:11" x14ac:dyDescent="0.2">
      <c r="A48" s="6"/>
      <c r="B48" s="9">
        <v>46197</v>
      </c>
      <c r="C48" s="9">
        <v>46307</v>
      </c>
      <c r="D48" s="2" t="s">
        <v>16</v>
      </c>
      <c r="E48" s="4">
        <v>4000</v>
      </c>
      <c r="G48" s="4"/>
      <c r="H48" s="9"/>
      <c r="K48" s="4"/>
    </row>
    <row r="49" spans="1:15" s="6" customFormat="1" x14ac:dyDescent="0.2">
      <c r="B49" s="9">
        <v>46303</v>
      </c>
      <c r="C49" s="9">
        <v>46307</v>
      </c>
      <c r="D49" s="6" t="s">
        <v>97</v>
      </c>
      <c r="E49" s="17">
        <v>1500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131663.45000000001</v>
      </c>
      <c r="F56" s="6"/>
      <c r="G56" s="6"/>
      <c r="H56" s="9"/>
      <c r="J56" s="14">
        <f>SUM(J8:J55)</f>
        <v>1323.5900000000001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46299</v>
      </c>
      <c r="I8" s="2" t="s">
        <v>74</v>
      </c>
      <c r="J8" s="5">
        <v>2650.8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46296</v>
      </c>
      <c r="I9" s="2" t="s">
        <v>65</v>
      </c>
      <c r="J9" s="5">
        <v>3040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122548.45000000001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Oct'26</vt:lpstr>
      <vt:lpstr>10.18</vt:lpstr>
      <vt:lpstr>10.11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2026-10-20T16:47:38Z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