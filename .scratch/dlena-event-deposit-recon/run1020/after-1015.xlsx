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trici\ocra-claude\.scratch\dlena-event-deposit-recon\run1020\"/>
    </mc:Choice>
  </mc:AlternateContent>
  <xr:revisionPtr revIDLastSave="0" documentId="13_ncr:1_{36B88163-D49E-4AD6-A08D-552836D2D373}" xr6:coauthVersionLast="47" xr6:coauthVersionMax="47" xr10:uidLastSave="{00000000-0000-0000-0000-000000000000}"/>
  <bookViews>
    <workbookView xWindow="-62664" yWindow="2352" windowWidth="21600" windowHeight="11292" activeTab="1" xr2:uid="{6CB177A4-764B-4331-AC8A-02591DFB4B6F}"/>
  </bookViews>
  <sheets>
    <sheet name="Oct'26" sheetId="401" r:id="rId1"/>
    <sheet name="10.18" sheetId="405" r:id="rId2"/>
    <sheet name="10.11" sheetId="404" r:id="rId3"/>
    <sheet name="10.4" sheetId="402" r:id="rId4"/>
    <sheet name="Sept'26" sheetId="403" r:id="rId5"/>
    <sheet name="9.30" sheetId="400" r:id="rId6"/>
    <sheet name="9.27" sheetId="399" r:id="rId7"/>
    <sheet name="9.20" sheetId="398" r:id="rId8"/>
    <sheet name="9.13" sheetId="396" r:id="rId9"/>
    <sheet name="9.6" sheetId="397" r:id="rId10"/>
    <sheet name="Aug'26" sheetId="392" r:id="rId11"/>
    <sheet name="8.31" sheetId="391" r:id="rId12"/>
    <sheet name="8.27" sheetId="389" r:id="rId13"/>
    <sheet name="8.22" sheetId="388" r:id="rId14"/>
    <sheet name="8.16" sheetId="387" r:id="rId15"/>
    <sheet name="8.12" sheetId="386" r:id="rId16"/>
    <sheet name="8.5" sheetId="381" r:id="rId17"/>
    <sheet name="July'26" sheetId="395" r:id="rId1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6" i="405" l="1"/>
  <c r="E56" i="405"/>
  <c r="J56" i="404"/>
  <c r="E56" i="404"/>
  <c r="J56" i="403"/>
  <c r="E56" i="403"/>
  <c r="J56" i="402"/>
  <c r="E56" i="402"/>
  <c r="J56" i="401"/>
  <c r="E56" i="401"/>
  <c r="J56" i="400"/>
  <c r="E56" i="400"/>
  <c r="J56" i="399"/>
  <c r="E56" i="399"/>
  <c r="J56" i="398"/>
  <c r="E56" i="398"/>
  <c r="J54" i="397"/>
  <c r="E54" i="397"/>
  <c r="J56" i="396"/>
  <c r="E56" i="396"/>
  <c r="J49" i="395"/>
  <c r="E49" i="395"/>
  <c r="E42" i="395"/>
  <c r="J51" i="392"/>
  <c r="E37" i="392"/>
  <c r="E51" i="392" s="1"/>
  <c r="E37" i="391"/>
  <c r="E51" i="391"/>
  <c r="K42" i="391"/>
  <c r="K41" i="391"/>
  <c r="K40" i="391"/>
  <c r="K38" i="391"/>
  <c r="K37" i="391"/>
  <c r="J41" i="389"/>
  <c r="E41" i="389"/>
  <c r="J33" i="389"/>
  <c r="J32" i="389"/>
  <c r="J31" i="389"/>
  <c r="J29" i="389"/>
  <c r="J28" i="389"/>
  <c r="E45" i="388"/>
  <c r="F41" i="388"/>
  <c r="J34" i="388"/>
  <c r="J33" i="388"/>
  <c r="J45" i="388" s="1"/>
  <c r="J32" i="388"/>
  <c r="E30" i="388"/>
  <c r="J29" i="388"/>
  <c r="J28" i="388"/>
  <c r="E36" i="387"/>
  <c r="E46" i="387" s="1"/>
  <c r="J35" i="387"/>
  <c r="J34" i="387"/>
  <c r="J32" i="387"/>
  <c r="J31" i="387"/>
  <c r="J46" i="387" s="1"/>
  <c r="J40" i="386"/>
  <c r="J39" i="386"/>
  <c r="J37" i="386"/>
  <c r="J36" i="386"/>
  <c r="J49" i="386" s="1"/>
  <c r="E32" i="386"/>
  <c r="E49" i="386" s="1"/>
  <c r="E50" i="381"/>
  <c r="F43" i="381"/>
  <c r="F37" i="381"/>
  <c r="J36" i="381"/>
  <c r="J50" i="381" s="1"/>
  <c r="J51" i="391" l="1"/>
</calcChain>
</file>

<file path=xl/sharedStrings.xml><?xml version="1.0" encoding="utf-8"?>
<sst xmlns="http://schemas.openxmlformats.org/spreadsheetml/2006/main" count="1009" uniqueCount="105">
  <si>
    <t>d'Lena - Event Deposits and Tripleseat Receivable</t>
  </si>
  <si>
    <t>Banquet Deposits</t>
  </si>
  <si>
    <t>Date</t>
  </si>
  <si>
    <t>Event</t>
  </si>
  <si>
    <t>Collected</t>
  </si>
  <si>
    <t>Name</t>
  </si>
  <si>
    <t>Amount</t>
  </si>
  <si>
    <t>OpenTable</t>
  </si>
  <si>
    <t>Tripleseat Receivable</t>
  </si>
  <si>
    <t>Arizona Financial Credit Union</t>
  </si>
  <si>
    <t>Parikh 50th Bday</t>
  </si>
  <si>
    <t>TBD</t>
  </si>
  <si>
    <t>PCG Business Dinner</t>
  </si>
  <si>
    <t>Rachel &amp; Jonathan's Engagement Party</t>
  </si>
  <si>
    <t>Regeneron's Business Dinner</t>
  </si>
  <si>
    <t>IHG Owners Assoc</t>
  </si>
  <si>
    <t>Meetings &amp; Incentives Worldwide</t>
  </si>
  <si>
    <t>Appogee Therapeutic's</t>
  </si>
  <si>
    <t>Consilio's</t>
  </si>
  <si>
    <t>OSF's Holiday Event</t>
  </si>
  <si>
    <t>APA Division 15 Sub Committee</t>
  </si>
  <si>
    <t>WilmerHale's Client Dinner</t>
  </si>
  <si>
    <t>Steve's Announcement Business Dinner</t>
  </si>
  <si>
    <t>WTS International</t>
  </si>
  <si>
    <t>GovAl Dinner</t>
  </si>
  <si>
    <t>Saint Paul &amp; Minnesota Foundation</t>
  </si>
  <si>
    <t>Rachel's 30th Birthday</t>
  </si>
  <si>
    <t>Katelin Garcia's Bachelorette</t>
  </si>
  <si>
    <t>Grace's Birthday</t>
  </si>
  <si>
    <t>Reach Investigator Meeting</t>
  </si>
  <si>
    <t>Branch-Reinhart Welcome Party</t>
  </si>
  <si>
    <t>F2Gs Cocktail Style Reception</t>
  </si>
  <si>
    <t>Ayomide's Birthday</t>
  </si>
  <si>
    <t>Kirsten's Birthday Dinner</t>
  </si>
  <si>
    <t>Mogan's Bachelorette</t>
  </si>
  <si>
    <t>Spencer Stuart's Business Dinner</t>
  </si>
  <si>
    <t>Rep Sewell Happy Hour</t>
  </si>
  <si>
    <t>Fried Frank Reception</t>
  </si>
  <si>
    <t>Stateside Holiday Party</t>
  </si>
  <si>
    <t>Wizards Sales Goal Lunch</t>
  </si>
  <si>
    <t>August 2026</t>
  </si>
  <si>
    <t>Aileen's Graduation Dinner</t>
  </si>
  <si>
    <t>Maddie's Birthday</t>
  </si>
  <si>
    <t>Ailiyah's 32nd Birthday</t>
  </si>
  <si>
    <t>LPL Financial</t>
  </si>
  <si>
    <t>Mid Atlantic Arts Business</t>
  </si>
  <si>
    <t>Soojin's Birthday</t>
  </si>
  <si>
    <t>DSCC MRLC Reception</t>
  </si>
  <si>
    <t>GovAl Dinner Deposit</t>
  </si>
  <si>
    <t>GovAl Dinner Remainder</t>
  </si>
  <si>
    <t>Raul &amp; Zach's Rehearsal Dinner</t>
  </si>
  <si>
    <t>Kyanna's Birthday</t>
  </si>
  <si>
    <t>Abby's Birthday</t>
  </si>
  <si>
    <t>Emma's Birthday</t>
  </si>
  <si>
    <t>Charles' Birthday</t>
  </si>
  <si>
    <t>IMEU Policy Project Dinner</t>
  </si>
  <si>
    <t>Vanguard Networking Event</t>
  </si>
  <si>
    <t>NPR's End of Summer</t>
  </si>
  <si>
    <t>Tyrell's Birthday</t>
  </si>
  <si>
    <t>September 2026</t>
  </si>
  <si>
    <t>July 2026</t>
  </si>
  <si>
    <t>Hawaii State FCU GAC Kickoff</t>
  </si>
  <si>
    <t>Oshkosh Defense Corp</t>
  </si>
  <si>
    <t>PWC's Business Dinner</t>
  </si>
  <si>
    <t>Planned Parenthood</t>
  </si>
  <si>
    <t>Georgetown University Law</t>
  </si>
  <si>
    <t>Eltropy's Business Dinner</t>
  </si>
  <si>
    <t>Angerholzer Broz Consulting</t>
  </si>
  <si>
    <t>Hellfire LLC</t>
  </si>
  <si>
    <t>Internet Coalition Networking</t>
  </si>
  <si>
    <t>Charle's Bachelor Party</t>
  </si>
  <si>
    <t>Morristown Medical Center</t>
  </si>
  <si>
    <t>Noni's 25th Birthday</t>
  </si>
  <si>
    <t>Alasia's Birthday</t>
  </si>
  <si>
    <t>PIR Board Dinner</t>
  </si>
  <si>
    <t>Albert Portillo's Birthday</t>
  </si>
  <si>
    <t>Ashley Kucera's 40th Birthday</t>
  </si>
  <si>
    <t>Equinor's Business Dinner</t>
  </si>
  <si>
    <t>Logistic Property Company</t>
  </si>
  <si>
    <t>Nala's Birthday</t>
  </si>
  <si>
    <t>Tiffany's 50th Birthday Party</t>
  </si>
  <si>
    <t>Showtime Group - Lunch</t>
  </si>
  <si>
    <t>Lot Sixteen's Holiday Party</t>
  </si>
  <si>
    <t>Capital One Finacial's Company Holiday Event</t>
  </si>
  <si>
    <t>Knowledge Alliance Fall Forum Dinner</t>
  </si>
  <si>
    <t>Columbia Southern University Learning Partner Reception</t>
  </si>
  <si>
    <t>Merchant McIntyre's Corporate Holiday Party</t>
  </si>
  <si>
    <t>Fed Rogers Productions Business Dinner</t>
  </si>
  <si>
    <t>Olivia Robinson-Hill's 40th Birthday</t>
  </si>
  <si>
    <t>AbbVie's Business Dinner/Happy Hour</t>
  </si>
  <si>
    <t>Ellzey Staff Dinner Business Dinner</t>
  </si>
  <si>
    <t>Sanofi's Dinner</t>
  </si>
  <si>
    <t>Hilton's Business Dinner</t>
  </si>
  <si>
    <t>October 2026</t>
  </si>
  <si>
    <t>PAC Appreciation Dinner</t>
  </si>
  <si>
    <t>Senator Sheldon Whitehouse Fundraiser</t>
  </si>
  <si>
    <t>Scoot Education's Business Dinner</t>
  </si>
  <si>
    <t>McKinsey's Business meeting</t>
  </si>
  <si>
    <t>Joelle's Farewell Dinner</t>
  </si>
  <si>
    <t>Yale Alumni Reception</t>
  </si>
  <si>
    <t>Fiyin's Birthday Dinner</t>
  </si>
  <si>
    <t>Gautam's Birthday Party</t>
  </si>
  <si>
    <t>HU16 10 Year Anniversary Brunch</t>
  </si>
  <si>
    <t>Yotel Manager's End of Year Celebration</t>
  </si>
  <si>
    <t>Hilton's Corporate Dinner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</si>
</sst>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m/d/yy;@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  <font>
      <sz val="10"/>
      <color theme="1"/>
      <name val="Times New Roman"/>
      <family val="1"/>
    </font>
    <font>
      <sz val="10"/>
      <name val="Times New Roman"/>
      <family val="1"/>
    </font>
    <font>
      <sz val="10"/>
      <color rgb="FFFF0000"/>
      <name val="Times New Roman"/>
      <family val="1"/>
    </font>
    <font>
      <b/>
      <sz val="10"/>
      <name val="Times New Roman"/>
      <family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2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43" fontId="5" fillId="0" borderId="0" xfId="1" applyFont="1"/>
    <xf numFmtId="43" fontId="4" fillId="0" borderId="0" xfId="1" applyFont="1"/>
    <xf numFmtId="0" fontId="5" fillId="0" borderId="0" xfId="0" applyFont="1"/>
    <xf numFmtId="0" fontId="5" fillId="0" borderId="0" xfId="0" applyFont="1" applyAlignment="1">
      <alignment horizontal="center"/>
    </xf>
    <xf numFmtId="43" fontId="5" fillId="0" borderId="0" xfId="1" applyFont="1" applyAlignment="1">
      <alignment horizontal="center"/>
    </xf>
    <xf numFmtId="164" fontId="5" fillId="0" borderId="0" xfId="0" applyNumberFormat="1" applyFont="1"/>
    <xf numFmtId="43" fontId="4" fillId="0" borderId="0" xfId="0" applyNumberFormat="1" applyFont="1"/>
    <xf numFmtId="43" fontId="4" fillId="0" borderId="0" xfId="1" applyFont="1" applyFill="1"/>
    <xf numFmtId="43" fontId="0" fillId="0" borderId="0" xfId="0" applyNumberFormat="1"/>
    <xf numFmtId="43" fontId="6" fillId="0" borderId="0" xfId="1" applyFont="1"/>
    <xf numFmtId="43" fontId="7" fillId="0" borderId="1" xfId="1" applyFont="1" applyBorder="1"/>
    <xf numFmtId="0" fontId="8" fillId="0" borderId="0" xfId="0" applyFont="1" applyAlignment="1">
      <alignment horizontal="center"/>
    </xf>
    <xf numFmtId="164" fontId="4" fillId="0" borderId="0" xfId="0" applyNumberFormat="1" applyFont="1"/>
    <xf numFmtId="43" fontId="5" fillId="0" borderId="0" xfId="0" applyNumberFormat="1" applyFont="1"/>
    <xf numFmtId="0" fontId="8" fillId="0" borderId="0" xfId="0" applyFont="1" applyAlignment="1">
      <alignment horizontal="center"/>
    </xf>
    <xf numFmtId="17" fontId="8" fillId="0" borderId="0" xfId="0" quotePrefix="1" applyNumberFormat="1" applyFont="1" applyAlignment="1">
      <alignment horizontal="center"/>
    </xf>
    <xf numFmtId="0" fontId="3" fillId="0" borderId="0" xfId="0" applyFont="1" applyAlignment="1">
      <alignment horizontal="center"/>
    </xf>
    <xf numFmtId="43" fontId="5" fillId="0" borderId="0" xfId="1" applyNumberFormat="1" applyFont="1"/>
    <xf numFmtId="43" fontId="4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4DE2D-ABD4-488E-BB49-4082E3BFD3D3}">
  <sheetPr>
    <pageSetUpPr fitToPage="1"/>
  </sheetPr>
  <dimension ref="A1:O68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B3" sqref="B3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93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H8" s="16">
        <v>46292</v>
      </c>
      <c r="I8" s="2" t="s">
        <v>80</v>
      </c>
      <c r="J8" s="5">
        <v>546.35</v>
      </c>
      <c r="K8" s="4"/>
    </row>
    <row r="9" spans="1:11" x14ac:dyDescent="0.2">
      <c r="A9" s="6"/>
      <c r="B9" s="9">
        <v>46262</v>
      </c>
      <c r="C9" s="9">
        <v>46513</v>
      </c>
      <c r="D9" s="6" t="s">
        <v>50</v>
      </c>
      <c r="E9" s="4">
        <v>2250</v>
      </c>
      <c r="F9" s="4"/>
      <c r="G9" s="4"/>
      <c r="H9" s="16"/>
      <c r="K9" s="4"/>
    </row>
    <row r="10" spans="1:11" x14ac:dyDescent="0.2">
      <c r="A10" s="6"/>
      <c r="B10" s="9">
        <v>46240</v>
      </c>
      <c r="C10" s="9">
        <v>46483</v>
      </c>
      <c r="D10" s="6" t="s">
        <v>37</v>
      </c>
      <c r="E10" s="4">
        <v>1750</v>
      </c>
      <c r="F10" s="4"/>
      <c r="G10" s="4"/>
      <c r="H10" s="16"/>
      <c r="K10" s="4"/>
    </row>
    <row r="11" spans="1:11" x14ac:dyDescent="0.2">
      <c r="A11" s="6"/>
      <c r="B11" s="9">
        <v>46269</v>
      </c>
      <c r="C11" s="9">
        <v>46447</v>
      </c>
      <c r="D11" s="6" t="s">
        <v>66</v>
      </c>
      <c r="E11" s="4">
        <v>1875</v>
      </c>
      <c r="F11" s="4"/>
      <c r="G11" s="4"/>
      <c r="H11" s="16"/>
      <c r="K11" s="4"/>
    </row>
    <row r="12" spans="1:11" x14ac:dyDescent="0.2">
      <c r="A12" s="6"/>
      <c r="B12" s="9">
        <v>46247</v>
      </c>
      <c r="C12" s="9">
        <v>46446</v>
      </c>
      <c r="D12" s="6" t="s">
        <v>9</v>
      </c>
      <c r="E12" s="4">
        <v>4000</v>
      </c>
      <c r="F12" s="4"/>
      <c r="G12" s="4"/>
      <c r="H12" s="16"/>
      <c r="K12" s="4"/>
    </row>
    <row r="13" spans="1:11" x14ac:dyDescent="0.2">
      <c r="A13" s="6"/>
      <c r="B13" s="9">
        <v>46267</v>
      </c>
      <c r="C13" s="9">
        <v>46446</v>
      </c>
      <c r="D13" s="6" t="s">
        <v>61</v>
      </c>
      <c r="E13" s="4">
        <v>1500</v>
      </c>
      <c r="F13" s="4"/>
      <c r="G13" s="4"/>
      <c r="H13" s="16"/>
      <c r="K13" s="4"/>
    </row>
    <row r="14" spans="1:11" x14ac:dyDescent="0.2">
      <c r="A14" s="6"/>
      <c r="B14" s="9">
        <v>46218</v>
      </c>
      <c r="C14" s="9">
        <v>46397</v>
      </c>
      <c r="D14" s="6" t="s">
        <v>23</v>
      </c>
      <c r="E14" s="4">
        <v>10000</v>
      </c>
      <c r="F14" s="4"/>
      <c r="G14" s="4"/>
      <c r="H14" s="16"/>
      <c r="K14" s="4"/>
    </row>
    <row r="15" spans="1:11" x14ac:dyDescent="0.2">
      <c r="A15" s="6"/>
      <c r="B15" s="9">
        <v>46232</v>
      </c>
      <c r="C15" s="9">
        <v>46373</v>
      </c>
      <c r="D15" s="6" t="s">
        <v>30</v>
      </c>
      <c r="E15" s="4">
        <v>3000</v>
      </c>
      <c r="F15" s="4"/>
      <c r="G15" s="4"/>
      <c r="H15" s="16"/>
      <c r="K15" s="4"/>
    </row>
    <row r="16" spans="1:11" x14ac:dyDescent="0.2">
      <c r="A16" s="6"/>
      <c r="B16" s="9">
        <v>46295</v>
      </c>
      <c r="C16" s="9">
        <v>46373</v>
      </c>
      <c r="D16" s="6" t="s">
        <v>86</v>
      </c>
      <c r="E16" s="4">
        <v>6000</v>
      </c>
      <c r="F16" s="4"/>
      <c r="G16" s="4"/>
      <c r="H16" s="16"/>
      <c r="K16" s="4"/>
    </row>
    <row r="17" spans="1:11" x14ac:dyDescent="0.2">
      <c r="A17" s="6"/>
      <c r="B17" s="9">
        <v>46240</v>
      </c>
      <c r="C17" s="9">
        <v>46372</v>
      </c>
      <c r="D17" s="6" t="s">
        <v>38</v>
      </c>
      <c r="E17" s="4">
        <v>5000</v>
      </c>
      <c r="F17" s="4"/>
      <c r="G17" s="4"/>
      <c r="H17" s="16"/>
      <c r="K17" s="4"/>
    </row>
    <row r="18" spans="1:11" x14ac:dyDescent="0.2">
      <c r="A18" s="6"/>
      <c r="B18" s="9">
        <v>46206</v>
      </c>
      <c r="C18" s="9">
        <v>46367</v>
      </c>
      <c r="D18" s="6" t="s">
        <v>19</v>
      </c>
      <c r="E18" s="4">
        <v>6750</v>
      </c>
      <c r="F18" s="4"/>
      <c r="G18" s="4"/>
      <c r="H18" s="16"/>
      <c r="K18" s="4"/>
    </row>
    <row r="19" spans="1:11" x14ac:dyDescent="0.2">
      <c r="A19" s="6"/>
      <c r="B19" s="9">
        <v>46289</v>
      </c>
      <c r="C19" s="9">
        <v>46366</v>
      </c>
      <c r="D19" s="6" t="s">
        <v>82</v>
      </c>
      <c r="E19" s="4">
        <v>5000</v>
      </c>
      <c r="F19" s="4"/>
      <c r="G19" s="4"/>
      <c r="H19" s="16"/>
      <c r="K19" s="4"/>
    </row>
    <row r="20" spans="1:11" x14ac:dyDescent="0.2">
      <c r="A20" s="6"/>
      <c r="B20" s="9">
        <v>46295</v>
      </c>
      <c r="C20" s="9">
        <v>46362</v>
      </c>
      <c r="D20" s="6" t="s">
        <v>87</v>
      </c>
      <c r="E20" s="4">
        <v>1875</v>
      </c>
      <c r="F20" s="4"/>
      <c r="G20" s="4"/>
      <c r="H20" s="16"/>
      <c r="K20" s="4"/>
    </row>
    <row r="21" spans="1:11" x14ac:dyDescent="0.2">
      <c r="A21" s="6"/>
      <c r="B21" s="9">
        <v>46289</v>
      </c>
      <c r="C21" s="9">
        <v>46359</v>
      </c>
      <c r="D21" s="6" t="s">
        <v>83</v>
      </c>
      <c r="E21" s="4">
        <v>6000</v>
      </c>
      <c r="F21" s="4"/>
      <c r="G21" s="4"/>
      <c r="H21" s="16"/>
      <c r="K21" s="4"/>
    </row>
    <row r="22" spans="1:11" x14ac:dyDescent="0.2">
      <c r="A22" s="6"/>
      <c r="B22" s="9">
        <v>46295</v>
      </c>
      <c r="C22" s="9">
        <v>46355</v>
      </c>
      <c r="D22" s="6" t="s">
        <v>88</v>
      </c>
      <c r="E22" s="4">
        <v>1960</v>
      </c>
      <c r="F22" s="4"/>
      <c r="G22" s="4"/>
      <c r="H22" s="16"/>
      <c r="K22" s="4"/>
    </row>
    <row r="23" spans="1:11" x14ac:dyDescent="0.2">
      <c r="A23" s="6"/>
      <c r="B23" s="9">
        <v>46200</v>
      </c>
      <c r="C23" s="9">
        <v>46345</v>
      </c>
      <c r="D23" s="6" t="s">
        <v>18</v>
      </c>
      <c r="E23" s="4">
        <v>7000</v>
      </c>
      <c r="F23" s="4"/>
      <c r="G23" s="4"/>
      <c r="H23" s="16"/>
      <c r="K23" s="4"/>
    </row>
    <row r="24" spans="1:11" x14ac:dyDescent="0.2">
      <c r="A24" s="6"/>
      <c r="B24" s="9">
        <v>46295</v>
      </c>
      <c r="C24" s="9">
        <v>46344</v>
      </c>
      <c r="D24" s="6" t="s">
        <v>89</v>
      </c>
      <c r="E24" s="4">
        <v>3000</v>
      </c>
      <c r="F24" s="4"/>
      <c r="G24" s="4"/>
      <c r="H24" s="16"/>
      <c r="K24" s="4"/>
    </row>
    <row r="25" spans="1:11" x14ac:dyDescent="0.2">
      <c r="A25" s="6"/>
      <c r="B25" s="9">
        <v>46295</v>
      </c>
      <c r="C25" s="9">
        <v>46343</v>
      </c>
      <c r="D25" s="6" t="s">
        <v>90</v>
      </c>
      <c r="E25" s="4">
        <v>1750</v>
      </c>
      <c r="F25" s="4"/>
      <c r="G25" s="4"/>
      <c r="H25" s="16"/>
      <c r="K25" s="10"/>
    </row>
    <row r="26" spans="1:11" x14ac:dyDescent="0.2">
      <c r="A26" s="6"/>
      <c r="B26" s="9">
        <v>46289</v>
      </c>
      <c r="C26" s="9">
        <v>46330</v>
      </c>
      <c r="D26" s="6" t="s">
        <v>84</v>
      </c>
      <c r="E26" s="4">
        <v>2000</v>
      </c>
      <c r="F26" s="4"/>
      <c r="G26" s="4"/>
      <c r="H26" s="16"/>
      <c r="K26" s="10"/>
    </row>
    <row r="27" spans="1:11" x14ac:dyDescent="0.2">
      <c r="A27" s="6"/>
      <c r="B27" s="9">
        <v>46295</v>
      </c>
      <c r="C27" s="9">
        <v>46330</v>
      </c>
      <c r="D27" s="6" t="s">
        <v>91</v>
      </c>
      <c r="E27" s="4">
        <v>600</v>
      </c>
      <c r="F27" s="4"/>
      <c r="G27" s="4"/>
      <c r="H27" s="16"/>
      <c r="K27" s="10"/>
    </row>
    <row r="28" spans="1:11" x14ac:dyDescent="0.2">
      <c r="A28" s="6"/>
      <c r="B28" s="9">
        <v>46231</v>
      </c>
      <c r="C28" s="9">
        <v>46327</v>
      </c>
      <c r="D28" s="6" t="s">
        <v>29</v>
      </c>
      <c r="E28" s="4">
        <v>1750</v>
      </c>
      <c r="F28" s="4"/>
      <c r="G28" s="4"/>
      <c r="H28" s="16"/>
      <c r="K28" s="10"/>
    </row>
    <row r="29" spans="1:11" x14ac:dyDescent="0.2">
      <c r="A29" s="6"/>
      <c r="B29" s="9">
        <v>46162</v>
      </c>
      <c r="C29" s="9">
        <v>46326</v>
      </c>
      <c r="D29" s="6" t="s">
        <v>13</v>
      </c>
      <c r="E29" s="4">
        <v>6000</v>
      </c>
      <c r="F29" s="4"/>
      <c r="G29" s="4"/>
      <c r="H29" s="16"/>
      <c r="K29" s="10"/>
    </row>
    <row r="30" spans="1:11" x14ac:dyDescent="0.2">
      <c r="A30" s="6"/>
      <c r="B30" s="9">
        <v>46289</v>
      </c>
      <c r="C30" s="9">
        <v>46325</v>
      </c>
      <c r="D30" s="6" t="s">
        <v>7</v>
      </c>
      <c r="E30" s="4">
        <v>1660.97</v>
      </c>
      <c r="F30" s="4"/>
      <c r="G30" s="4"/>
      <c r="H30" s="16"/>
      <c r="K30" s="10"/>
    </row>
    <row r="31" spans="1:11" x14ac:dyDescent="0.2">
      <c r="A31" s="6"/>
      <c r="B31" s="9">
        <v>46295</v>
      </c>
      <c r="C31" s="9">
        <v>46323</v>
      </c>
      <c r="D31" s="6" t="s">
        <v>92</v>
      </c>
      <c r="E31" s="4">
        <v>1875</v>
      </c>
      <c r="F31" s="4"/>
      <c r="G31" s="4"/>
      <c r="H31" s="16"/>
      <c r="K31" s="10"/>
    </row>
    <row r="32" spans="1:11" x14ac:dyDescent="0.2">
      <c r="A32" s="6"/>
      <c r="B32" s="9">
        <v>46232</v>
      </c>
      <c r="C32" s="9">
        <v>46318</v>
      </c>
      <c r="D32" s="6" t="s">
        <v>31</v>
      </c>
      <c r="E32" s="4">
        <v>5000</v>
      </c>
      <c r="F32" s="4"/>
      <c r="G32" s="4"/>
      <c r="H32" s="9"/>
      <c r="I32" s="6"/>
      <c r="K32" s="5"/>
    </row>
    <row r="33" spans="1:11" x14ac:dyDescent="0.2">
      <c r="A33" s="6"/>
      <c r="B33" s="9">
        <v>46264</v>
      </c>
      <c r="C33" s="9">
        <v>46318</v>
      </c>
      <c r="D33" s="6" t="s">
        <v>7</v>
      </c>
      <c r="E33" s="4">
        <v>996.58</v>
      </c>
      <c r="F33" s="4"/>
      <c r="G33" s="4"/>
      <c r="H33" s="9"/>
      <c r="I33" s="6"/>
      <c r="K33" s="5"/>
    </row>
    <row r="34" spans="1:11" x14ac:dyDescent="0.2">
      <c r="A34" s="6"/>
      <c r="B34" s="9">
        <v>46274</v>
      </c>
      <c r="C34" s="9">
        <v>46318</v>
      </c>
      <c r="D34" s="6" t="s">
        <v>7</v>
      </c>
      <c r="E34" s="4">
        <v>430.85</v>
      </c>
      <c r="F34" s="4"/>
      <c r="G34" s="4"/>
      <c r="H34" s="9"/>
      <c r="I34" s="6"/>
      <c r="K34" s="5"/>
    </row>
    <row r="35" spans="1:11" x14ac:dyDescent="0.2">
      <c r="A35" s="6"/>
      <c r="B35" s="9">
        <v>46295</v>
      </c>
      <c r="C35" s="9">
        <v>46312</v>
      </c>
      <c r="D35" s="6" t="s">
        <v>7</v>
      </c>
      <c r="E35" s="4">
        <v>547.62</v>
      </c>
      <c r="G35" s="4"/>
      <c r="H35" s="9"/>
      <c r="I35" s="6"/>
      <c r="K35" s="5"/>
    </row>
    <row r="36" spans="1:11" x14ac:dyDescent="0.2">
      <c r="A36" s="6"/>
      <c r="B36" s="9">
        <v>46293</v>
      </c>
      <c r="C36" s="9">
        <v>46311</v>
      </c>
      <c r="D36" s="6" t="s">
        <v>7</v>
      </c>
      <c r="E36" s="4">
        <v>430.85</v>
      </c>
      <c r="G36" s="4"/>
      <c r="H36" s="9"/>
      <c r="I36" s="6"/>
      <c r="K36" s="5"/>
    </row>
    <row r="37" spans="1:11" x14ac:dyDescent="0.2">
      <c r="A37" s="6"/>
      <c r="B37" s="9">
        <v>46270</v>
      </c>
      <c r="C37" s="9">
        <v>46309</v>
      </c>
      <c r="D37" s="6" t="s">
        <v>69</v>
      </c>
      <c r="E37" s="4">
        <v>825</v>
      </c>
      <c r="G37" s="4"/>
      <c r="H37" s="9"/>
      <c r="I37" s="6"/>
      <c r="K37" s="5"/>
    </row>
    <row r="38" spans="1:11" x14ac:dyDescent="0.2">
      <c r="A38" s="6"/>
      <c r="B38" s="9">
        <v>46281</v>
      </c>
      <c r="C38" s="9">
        <v>46309</v>
      </c>
      <c r="D38" s="6" t="s">
        <v>77</v>
      </c>
      <c r="E38" s="4">
        <v>1875</v>
      </c>
      <c r="G38" s="4"/>
      <c r="H38" s="9"/>
      <c r="I38" s="6"/>
      <c r="K38" s="5"/>
    </row>
    <row r="39" spans="1:11" x14ac:dyDescent="0.2">
      <c r="A39" s="6"/>
      <c r="B39" s="9">
        <v>46193</v>
      </c>
      <c r="C39" s="9">
        <v>46308</v>
      </c>
      <c r="D39" s="6" t="s">
        <v>15</v>
      </c>
      <c r="E39" s="4">
        <v>1750</v>
      </c>
      <c r="G39" s="4"/>
      <c r="H39" s="9"/>
      <c r="I39" s="6"/>
      <c r="K39" s="5"/>
    </row>
    <row r="40" spans="1:11" x14ac:dyDescent="0.2">
      <c r="A40" s="6"/>
      <c r="B40" s="9">
        <v>46267</v>
      </c>
      <c r="C40" s="9">
        <v>46308</v>
      </c>
      <c r="D40" s="6" t="s">
        <v>62</v>
      </c>
      <c r="E40" s="4">
        <v>12500</v>
      </c>
      <c r="G40" s="4"/>
      <c r="H40" s="9"/>
      <c r="I40" s="6"/>
      <c r="K40" s="5"/>
    </row>
    <row r="41" spans="1:11" x14ac:dyDescent="0.2">
      <c r="A41" s="6"/>
      <c r="B41" s="9">
        <v>46289</v>
      </c>
      <c r="C41" s="9">
        <v>46308</v>
      </c>
      <c r="D41" s="6" t="s">
        <v>85</v>
      </c>
      <c r="E41" s="10">
        <v>1750</v>
      </c>
      <c r="F41" s="4"/>
      <c r="G41" s="4"/>
      <c r="H41" s="9"/>
      <c r="I41" s="6"/>
      <c r="K41" s="5"/>
    </row>
    <row r="42" spans="1:11" x14ac:dyDescent="0.2">
      <c r="A42" s="6"/>
      <c r="B42" s="9">
        <v>46197</v>
      </c>
      <c r="C42" s="9">
        <v>46307</v>
      </c>
      <c r="D42" s="6" t="s">
        <v>16</v>
      </c>
      <c r="E42" s="10">
        <v>4000</v>
      </c>
      <c r="F42" s="4"/>
      <c r="G42" s="4"/>
      <c r="H42" s="9"/>
      <c r="K42" s="5"/>
    </row>
    <row r="43" spans="1:11" x14ac:dyDescent="0.2">
      <c r="A43" s="6"/>
      <c r="B43" s="9">
        <v>46288</v>
      </c>
      <c r="C43" s="9">
        <v>46303</v>
      </c>
      <c r="D43" s="2" t="s">
        <v>7</v>
      </c>
      <c r="E43" s="4">
        <v>996.58</v>
      </c>
      <c r="F43" s="4"/>
      <c r="G43" s="4"/>
      <c r="H43" s="16"/>
      <c r="K43" s="4"/>
    </row>
    <row r="44" spans="1:11" x14ac:dyDescent="0.2">
      <c r="A44" s="6"/>
      <c r="B44" s="9">
        <v>46281</v>
      </c>
      <c r="C44" s="9">
        <v>46302</v>
      </c>
      <c r="D44" s="2" t="s">
        <v>78</v>
      </c>
      <c r="E44" s="4">
        <v>600</v>
      </c>
      <c r="F44" s="4"/>
      <c r="G44" s="4"/>
      <c r="H44" s="16"/>
      <c r="K44" s="4"/>
    </row>
    <row r="45" spans="1:11" x14ac:dyDescent="0.2">
      <c r="A45" s="6"/>
      <c r="B45" s="9">
        <v>46213</v>
      </c>
      <c r="C45" s="9">
        <v>46301</v>
      </c>
      <c r="D45" s="2" t="s">
        <v>21</v>
      </c>
      <c r="E45" s="10">
        <v>1750</v>
      </c>
      <c r="F45" s="4"/>
      <c r="G45" s="4"/>
      <c r="H45" s="9"/>
      <c r="K45" s="4"/>
    </row>
    <row r="46" spans="1:11" x14ac:dyDescent="0.2">
      <c r="A46" s="6"/>
      <c r="B46" s="9">
        <v>46267</v>
      </c>
      <c r="C46" s="9">
        <v>46301</v>
      </c>
      <c r="D46" s="2" t="s">
        <v>63</v>
      </c>
      <c r="E46" s="4">
        <v>500</v>
      </c>
      <c r="G46" s="4"/>
      <c r="H46" s="9"/>
      <c r="K46" s="4"/>
    </row>
    <row r="47" spans="1:11" x14ac:dyDescent="0.2">
      <c r="A47" s="6"/>
      <c r="B47" s="9">
        <v>46280</v>
      </c>
      <c r="C47" s="9">
        <v>46299</v>
      </c>
      <c r="D47" s="2" t="s">
        <v>74</v>
      </c>
      <c r="E47" s="4">
        <v>1500</v>
      </c>
      <c r="G47" s="4"/>
      <c r="H47" s="9"/>
      <c r="K47" s="4"/>
    </row>
    <row r="48" spans="1:11" x14ac:dyDescent="0.2">
      <c r="A48" s="6"/>
      <c r="B48" s="9">
        <v>46268</v>
      </c>
      <c r="C48" s="9">
        <v>46296</v>
      </c>
      <c r="D48" s="2" t="s">
        <v>65</v>
      </c>
      <c r="E48" s="4">
        <v>2000</v>
      </c>
      <c r="G48" s="4"/>
      <c r="H48" s="9"/>
      <c r="K48" s="4"/>
    </row>
    <row r="49" spans="1:15" s="6" customFormat="1" x14ac:dyDescent="0.2">
      <c r="B49" s="9"/>
      <c r="C49" s="9"/>
      <c r="E49" s="17"/>
      <c r="G49" s="8"/>
      <c r="H49" s="9"/>
      <c r="J49" s="17"/>
      <c r="K49" s="17"/>
    </row>
    <row r="50" spans="1:15" s="6" customFormat="1" x14ac:dyDescent="0.2">
      <c r="B50" s="9"/>
      <c r="C50" s="9"/>
      <c r="E50" s="17"/>
      <c r="G50" s="8"/>
      <c r="H50" s="9"/>
      <c r="J50" s="17"/>
      <c r="K50" s="17"/>
    </row>
    <row r="51" spans="1:15" s="6" customFormat="1" x14ac:dyDescent="0.2">
      <c r="B51" s="9"/>
      <c r="C51" s="9"/>
      <c r="E51" s="17"/>
      <c r="G51" s="8"/>
      <c r="H51" s="9"/>
      <c r="J51" s="17"/>
      <c r="K51" s="17"/>
    </row>
    <row r="52" spans="1:15" s="6" customFormat="1" x14ac:dyDescent="0.2">
      <c r="B52" s="9"/>
      <c r="C52" s="9"/>
      <c r="E52" s="17"/>
      <c r="G52" s="8"/>
      <c r="H52" s="9"/>
      <c r="J52" s="17"/>
      <c r="K52" s="17"/>
    </row>
    <row r="53" spans="1:15" s="6" customFormat="1" x14ac:dyDescent="0.2">
      <c r="B53" s="9"/>
      <c r="C53" s="9"/>
      <c r="E53" s="17"/>
      <c r="G53" s="8"/>
      <c r="H53" s="9"/>
      <c r="J53" s="17"/>
      <c r="K53" s="17"/>
    </row>
    <row r="54" spans="1:15" s="6" customFormat="1" x14ac:dyDescent="0.2">
      <c r="B54" s="9"/>
      <c r="C54" s="9"/>
      <c r="E54" s="17"/>
      <c r="G54" s="8"/>
      <c r="H54" s="9"/>
      <c r="J54" s="17"/>
      <c r="K54" s="17"/>
    </row>
    <row r="55" spans="1:15" x14ac:dyDescent="0.2">
      <c r="B55" s="9"/>
      <c r="C55" s="9"/>
      <c r="E55" s="10"/>
      <c r="H55" s="16"/>
      <c r="K55" s="10"/>
    </row>
    <row r="56" spans="1:15" ht="13.5" thickBot="1" x14ac:dyDescent="0.25">
      <c r="A56" s="6"/>
      <c r="B56" s="9"/>
      <c r="C56" s="9"/>
      <c r="E56" s="14">
        <f>SUM(E7:E55)</f>
        <v>126048.45000000001</v>
      </c>
      <c r="F56" s="6"/>
      <c r="G56" s="6"/>
      <c r="H56" s="9"/>
      <c r="J56" s="14">
        <f>SUM(J8:J55)</f>
        <v>546.35</v>
      </c>
    </row>
    <row r="57" spans="1:15" ht="13.5" thickTop="1" x14ac:dyDescent="0.2">
      <c r="B57" s="9"/>
      <c r="C57" s="9"/>
      <c r="H57" s="9"/>
    </row>
    <row r="58" spans="1:15" x14ac:dyDescent="0.2">
      <c r="B58" s="9"/>
      <c r="C58" s="9"/>
      <c r="F58" s="10"/>
      <c r="G58" s="10"/>
      <c r="H58" s="9"/>
      <c r="L58" s="10"/>
      <c r="N58" s="10"/>
      <c r="O58" s="10"/>
    </row>
    <row r="59" spans="1:15" x14ac:dyDescent="0.2">
      <c r="B59" s="9"/>
      <c r="C59" s="9"/>
      <c r="H59" s="9"/>
    </row>
    <row r="60" spans="1:15" x14ac:dyDescent="0.2">
      <c r="B60" s="9"/>
      <c r="C60" s="9"/>
      <c r="E60" s="2"/>
      <c r="H60" s="9"/>
      <c r="J60" s="11"/>
    </row>
    <row r="61" spans="1:15" ht="15" x14ac:dyDescent="0.25">
      <c r="F61"/>
      <c r="G61"/>
      <c r="H61" s="9"/>
      <c r="J61" s="4"/>
    </row>
    <row r="62" spans="1:15" ht="15" x14ac:dyDescent="0.25">
      <c r="F62"/>
      <c r="G62"/>
      <c r="H62"/>
      <c r="I62"/>
      <c r="J62" s="12"/>
    </row>
    <row r="63" spans="1:15" ht="15" x14ac:dyDescent="0.25">
      <c r="F63"/>
      <c r="G63"/>
      <c r="H63"/>
      <c r="I63"/>
      <c r="J63"/>
    </row>
    <row r="64" spans="1:15" ht="15" x14ac:dyDescent="0.25">
      <c r="F64"/>
      <c r="G64"/>
      <c r="H64"/>
      <c r="I64"/>
      <c r="J64"/>
    </row>
    <row r="65" spans="1:15" s="4" customFormat="1" x14ac:dyDescent="0.2">
      <c r="A65" s="2"/>
      <c r="B65" s="2"/>
      <c r="C65" s="2"/>
      <c r="D65" s="2"/>
      <c r="F65" s="2"/>
      <c r="G65" s="2"/>
      <c r="H65" s="2"/>
      <c r="I65" s="2"/>
      <c r="J65" s="5"/>
      <c r="K65" s="2"/>
      <c r="L65" s="2"/>
      <c r="M65" s="2"/>
      <c r="N65" s="2"/>
      <c r="O65" s="2"/>
    </row>
    <row r="66" spans="1:15" x14ac:dyDescent="0.2">
      <c r="E66" s="10"/>
    </row>
    <row r="67" spans="1:15" x14ac:dyDescent="0.2">
      <c r="E67" s="2"/>
    </row>
    <row r="68" spans="1:15" x14ac:dyDescent="0.2">
      <c r="E68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68EA5-267A-4A0B-8A9C-963CF17B42EA}">
  <sheetPr>
    <pageSetUpPr fitToPage="1"/>
  </sheetPr>
  <dimension ref="A1:O68"/>
  <sheetViews>
    <sheetView tabSelected="1"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B3" sqref="B3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93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21">
        <v>6000</v>
      </c>
      <c r="F8" s="4"/>
      <c r="G8" s="4"/>
      <c r="H8" s="16">
        <v>46309</v>
      </c>
      <c r="I8" s="2" t="s">
        <v>77</v>
      </c>
      <c r="J8" s="22">
        <v>3238.5</v>
      </c>
      <c r="K8" s="21"/>
    </row>
    <row r="9" spans="1:11" x14ac:dyDescent="0.2">
      <c r="A9" s="6"/>
      <c r="B9" s="9">
        <v>46262</v>
      </c>
      <c r="C9" s="9">
        <v>46513</v>
      </c>
      <c r="D9" s="6" t="s">
        <v>50</v>
      </c>
      <c r="E9" s="21">
        <v>2250</v>
      </c>
      <c r="F9" s="4"/>
      <c r="G9" s="4"/>
      <c r="H9" s="16">
        <v>46309</v>
      </c>
      <c r="I9" s="2" t="s">
        <v>69</v>
      </c>
      <c r="J9" s="22">
        <v>1565.39</v>
      </c>
      <c r="K9" s="21"/>
    </row>
    <row r="10" spans="1:11" x14ac:dyDescent="0.2">
      <c r="A10" s="6"/>
      <c r="B10" s="9">
        <v>46240</v>
      </c>
      <c r="C10" s="9">
        <v>46483</v>
      </c>
      <c r="D10" s="6" t="s">
        <v>37</v>
      </c>
      <c r="E10" s="21">
        <v>1750</v>
      </c>
      <c r="F10" s="4"/>
      <c r="G10" s="4"/>
      <c r="H10" s="16">
        <v>46309</v>
      </c>
      <c r="I10" s="2" t="s">
        <v>69</v>
      </c>
      <c r="J10" s="22">
        <v>175.3</v>
      </c>
      <c r="K10" s="21"/>
    </row>
    <row r="11" spans="1:11" x14ac:dyDescent="0.2">
      <c r="A11" s="6"/>
      <c r="B11" s="9">
        <v>46269</v>
      </c>
      <c r="C11" s="9">
        <v>46447</v>
      </c>
      <c r="D11" s="6" t="s">
        <v>66</v>
      </c>
      <c r="E11" s="21">
        <v>1875</v>
      </c>
      <c r="F11" s="4"/>
      <c r="G11" s="4"/>
      <c r="H11" s="16">
        <v>46308</v>
      </c>
      <c r="I11" s="2" t="s">
        <v>62</v>
      </c>
      <c r="J11" s="22">
        <v>5000</v>
      </c>
      <c r="K11" s="21"/>
    </row>
    <row r="12" spans="1:11" x14ac:dyDescent="0.2">
      <c r="A12" s="6"/>
      <c r="B12" s="9">
        <v>46247</v>
      </c>
      <c r="C12" s="9">
        <v>46446</v>
      </c>
      <c r="D12" s="6" t="s">
        <v>9</v>
      </c>
      <c r="E12" s="21">
        <v>4000</v>
      </c>
      <c r="F12" s="4"/>
      <c r="G12" s="4"/>
      <c r="H12" s="16">
        <v>46308</v>
      </c>
      <c r="I12" s="2" t="s">
        <v>62</v>
      </c>
      <c r="J12" s="22">
        <v>10000</v>
      </c>
      <c r="K12" s="21"/>
    </row>
    <row r="13" spans="1:11" x14ac:dyDescent="0.2">
      <c r="A13" s="6"/>
      <c r="B13" s="9">
        <v>46267</v>
      </c>
      <c r="C13" s="9">
        <v>46446</v>
      </c>
      <c r="D13" s="6" t="s">
        <v>61</v>
      </c>
      <c r="E13" s="21">
        <v>1500</v>
      </c>
      <c r="F13" s="4"/>
      <c r="G13" s="4"/>
      <c r="H13" s="16">
        <v>46308</v>
      </c>
      <c r="I13" s="2" t="s">
        <v>15</v>
      </c>
      <c r="J13" s="22">
        <v>3022.6</v>
      </c>
      <c r="K13" s="21"/>
    </row>
    <row r="14" spans="1:11" x14ac:dyDescent="0.2">
      <c r="A14" s="6"/>
      <c r="B14" s="9">
        <v>46218</v>
      </c>
      <c r="C14" s="9">
        <v>46397</v>
      </c>
      <c r="D14" s="6" t="s">
        <v>23</v>
      </c>
      <c r="E14" s="21">
        <v>10000</v>
      </c>
      <c r="F14" s="4"/>
      <c r="G14" s="4"/>
      <c r="H14" s="16">
        <v>46292</v>
      </c>
      <c r="I14" s="2" t="s">
        <v>80</v>
      </c>
      <c r="J14" s="22">
        <v>546.35</v>
      </c>
      <c r="K14" s="21"/>
    </row>
    <row r="15" spans="1:11" x14ac:dyDescent="0.2">
      <c r="A15" s="6"/>
      <c r="B15" s="9">
        <v>46232</v>
      </c>
      <c r="C15" s="9">
        <v>46373</v>
      </c>
      <c r="D15" s="6" t="s">
        <v>30</v>
      </c>
      <c r="E15" s="21">
        <v>3000</v>
      </c>
      <c r="F15" s="4"/>
      <c r="G15" s="4"/>
      <c r="H15" s="16"/>
      <c r="J15" s="22"/>
      <c r="K15" s="21"/>
    </row>
    <row r="16" spans="1:11" x14ac:dyDescent="0.2">
      <c r="A16" s="6"/>
      <c r="B16" s="9">
        <v>46295</v>
      </c>
      <c r="C16" s="9">
        <v>46373</v>
      </c>
      <c r="D16" s="6" t="s">
        <v>86</v>
      </c>
      <c r="E16" s="21">
        <v>6000</v>
      </c>
      <c r="F16" s="4"/>
      <c r="G16" s="4"/>
      <c r="H16" s="16"/>
      <c r="J16" s="22"/>
      <c r="K16" s="21"/>
    </row>
    <row r="17" spans="1:11" x14ac:dyDescent="0.2">
      <c r="A17" s="6"/>
      <c r="B17" s="9">
        <v>46310</v>
      </c>
      <c r="C17" s="9">
        <v>46373</v>
      </c>
      <c r="D17" s="6" t="s">
        <v>103</v>
      </c>
      <c r="E17" s="21">
        <v>500</v>
      </c>
      <c r="F17" s="4"/>
      <c r="G17" s="4"/>
      <c r="H17" s="16"/>
      <c r="J17" s="22"/>
      <c r="K17" s="21"/>
    </row>
    <row r="18" spans="1:11" x14ac:dyDescent="0.2">
      <c r="A18" s="6"/>
      <c r="B18" s="9">
        <v>46240</v>
      </c>
      <c r="C18" s="9">
        <v>46372</v>
      </c>
      <c r="D18" s="6" t="s">
        <v>38</v>
      </c>
      <c r="E18" s="21">
        <v>5000</v>
      </c>
      <c r="F18" s="4"/>
      <c r="G18" s="4"/>
      <c r="H18" s="16"/>
      <c r="J18" s="22"/>
      <c r="K18" s="21"/>
    </row>
    <row r="19" spans="1:11" x14ac:dyDescent="0.2">
      <c r="A19" s="6"/>
      <c r="B19" s="9">
        <v>46206</v>
      </c>
      <c r="C19" s="9">
        <v>46367</v>
      </c>
      <c r="D19" s="6" t="s">
        <v>19</v>
      </c>
      <c r="E19" s="21">
        <v>6750</v>
      </c>
      <c r="F19" s="4"/>
      <c r="G19" s="4"/>
      <c r="H19" s="16"/>
      <c r="J19" s="22"/>
      <c r="K19" s="21"/>
    </row>
    <row r="20" spans="1:11" x14ac:dyDescent="0.2">
      <c r="A20" s="6"/>
      <c r="B20" s="9">
        <v>46289</v>
      </c>
      <c r="C20" s="9">
        <v>46366</v>
      </c>
      <c r="D20" s="6" t="s">
        <v>82</v>
      </c>
      <c r="E20" s="21">
        <v>5000</v>
      </c>
      <c r="F20" s="4"/>
      <c r="G20" s="4"/>
      <c r="H20" s="16"/>
      <c r="J20" s="22"/>
      <c r="K20" s="21"/>
    </row>
    <row r="21" spans="1:11" x14ac:dyDescent="0.2">
      <c r="A21" s="6"/>
      <c r="B21" s="9">
        <v>46295</v>
      </c>
      <c r="C21" s="9">
        <v>46362</v>
      </c>
      <c r="D21" s="6" t="s">
        <v>87</v>
      </c>
      <c r="E21" s="21">
        <v>1875</v>
      </c>
      <c r="F21" s="4"/>
      <c r="G21" s="4"/>
      <c r="H21" s="16"/>
      <c r="J21" s="22"/>
      <c r="K21" s="21"/>
    </row>
    <row r="22" spans="1:11" x14ac:dyDescent="0.2">
      <c r="A22" s="6"/>
      <c r="B22" s="9">
        <v>46289</v>
      </c>
      <c r="C22" s="9">
        <v>46359</v>
      </c>
      <c r="D22" s="6" t="s">
        <v>83</v>
      </c>
      <c r="E22" s="21">
        <v>6000</v>
      </c>
      <c r="F22" s="4"/>
      <c r="G22" s="4"/>
      <c r="H22" s="16"/>
      <c r="J22" s="22"/>
      <c r="K22" s="21"/>
    </row>
    <row r="23" spans="1:11" x14ac:dyDescent="0.2">
      <c r="A23" s="6"/>
      <c r="B23" s="9">
        <v>46295</v>
      </c>
      <c r="C23" s="9">
        <v>46355</v>
      </c>
      <c r="D23" s="6" t="s">
        <v>88</v>
      </c>
      <c r="E23" s="21">
        <v>1960</v>
      </c>
      <c r="F23" s="4"/>
      <c r="G23" s="4"/>
      <c r="H23" s="16"/>
      <c r="J23" s="22"/>
      <c r="K23" s="21"/>
    </row>
    <row r="24" spans="1:11" x14ac:dyDescent="0.2">
      <c r="A24" s="6"/>
      <c r="B24" s="9">
        <v>46309</v>
      </c>
      <c r="C24" s="9">
        <v>46347</v>
      </c>
      <c r="D24" s="6" t="s">
        <v>101</v>
      </c>
      <c r="E24" s="21">
        <v>2250</v>
      </c>
      <c r="F24" s="4"/>
      <c r="G24" s="4"/>
      <c r="H24" s="16"/>
      <c r="J24" s="22"/>
      <c r="K24" s="21"/>
    </row>
    <row r="25" spans="1:11" x14ac:dyDescent="0.2">
      <c r="A25" s="6"/>
      <c r="B25" s="9">
        <v>46200</v>
      </c>
      <c r="C25" s="9">
        <v>46345</v>
      </c>
      <c r="D25" s="6" t="s">
        <v>18</v>
      </c>
      <c r="E25" s="21">
        <v>7000</v>
      </c>
      <c r="F25" s="4"/>
      <c r="G25" s="4"/>
      <c r="H25" s="16"/>
      <c r="J25" s="22"/>
      <c r="K25" s="10"/>
    </row>
    <row r="26" spans="1:11" x14ac:dyDescent="0.2">
      <c r="A26" s="6"/>
      <c r="B26" s="9">
        <v>46295</v>
      </c>
      <c r="C26" s="9">
        <v>46344</v>
      </c>
      <c r="D26" s="6" t="s">
        <v>89</v>
      </c>
      <c r="E26" s="21">
        <v>3000</v>
      </c>
      <c r="F26" s="4"/>
      <c r="G26" s="4"/>
      <c r="H26" s="16"/>
      <c r="J26" s="22"/>
      <c r="K26" s="10"/>
    </row>
    <row r="27" spans="1:11" x14ac:dyDescent="0.2">
      <c r="A27" s="6"/>
      <c r="B27" s="9">
        <v>46295</v>
      </c>
      <c r="C27" s="9">
        <v>46343</v>
      </c>
      <c r="D27" s="6" t="s">
        <v>90</v>
      </c>
      <c r="E27" s="21">
        <v>1750</v>
      </c>
      <c r="F27" s="4"/>
      <c r="G27" s="4"/>
      <c r="H27" s="16"/>
      <c r="J27" s="22"/>
      <c r="K27" s="10"/>
    </row>
    <row r="28" spans="1:11" x14ac:dyDescent="0.2">
      <c r="A28" s="6"/>
      <c r="B28" s="9">
        <v>46302</v>
      </c>
      <c r="C28" s="9">
        <v>46343</v>
      </c>
      <c r="D28" s="6" t="s">
        <v>95</v>
      </c>
      <c r="E28" s="21">
        <v>1250</v>
      </c>
      <c r="F28" s="4"/>
      <c r="G28" s="4"/>
      <c r="H28" s="16"/>
      <c r="J28" s="22"/>
      <c r="K28" s="10"/>
    </row>
    <row r="29" spans="1:11" x14ac:dyDescent="0.2">
      <c r="A29" s="6"/>
      <c r="B29" s="9">
        <v>46289</v>
      </c>
      <c r="C29" s="9">
        <v>46330</v>
      </c>
      <c r="D29" s="6" t="s">
        <v>84</v>
      </c>
      <c r="E29" s="21">
        <v>2000</v>
      </c>
      <c r="F29" s="4"/>
      <c r="G29" s="4"/>
      <c r="H29" s="16"/>
      <c r="J29" s="22"/>
      <c r="K29" s="10"/>
    </row>
    <row r="30" spans="1:11" x14ac:dyDescent="0.2">
      <c r="A30" s="6"/>
      <c r="B30" s="9">
        <v>46295</v>
      </c>
      <c r="C30" s="9">
        <v>46330</v>
      </c>
      <c r="D30" s="6" t="s">
        <v>91</v>
      </c>
      <c r="E30" s="21">
        <v>600</v>
      </c>
      <c r="F30" s="4"/>
      <c r="G30" s="4"/>
      <c r="H30" s="16"/>
      <c r="J30" s="22"/>
      <c r="K30" s="10"/>
    </row>
    <row r="31" spans="1:11" x14ac:dyDescent="0.2">
      <c r="A31" s="6"/>
      <c r="B31" s="9">
        <v>46231</v>
      </c>
      <c r="C31" s="9">
        <v>46327</v>
      </c>
      <c r="D31" s="6" t="s">
        <v>29</v>
      </c>
      <c r="E31" s="21">
        <v>1750</v>
      </c>
      <c r="F31" s="4"/>
      <c r="G31" s="4"/>
      <c r="H31" s="16"/>
      <c r="J31" s="22"/>
      <c r="K31" s="10"/>
    </row>
    <row r="32" spans="1:11" x14ac:dyDescent="0.2">
      <c r="A32" s="6"/>
      <c r="B32" s="9">
        <v>46162</v>
      </c>
      <c r="C32" s="9">
        <v>46326</v>
      </c>
      <c r="D32" s="6" t="s">
        <v>13</v>
      </c>
      <c r="E32" s="21">
        <v>6000</v>
      </c>
      <c r="F32" s="4"/>
      <c r="G32" s="4"/>
      <c r="H32" s="9"/>
      <c r="I32" s="6"/>
      <c r="J32" s="22"/>
      <c r="K32" s="22"/>
    </row>
    <row r="33" spans="1:11" x14ac:dyDescent="0.2">
      <c r="A33" s="6"/>
      <c r="B33" s="9">
        <v>46289</v>
      </c>
      <c r="C33" s="9">
        <v>46325</v>
      </c>
      <c r="D33" s="6" t="s">
        <v>7</v>
      </c>
      <c r="E33" s="21">
        <v>1660.97</v>
      </c>
      <c r="F33" s="4"/>
      <c r="G33" s="4"/>
      <c r="H33" s="9"/>
      <c r="I33" s="6"/>
      <c r="J33" s="22"/>
      <c r="K33" s="22"/>
    </row>
    <row r="34" spans="1:11" x14ac:dyDescent="0.2">
      <c r="A34" s="6"/>
      <c r="B34" s="9">
        <v>46309</v>
      </c>
      <c r="C34" s="9">
        <v>46325</v>
      </c>
      <c r="D34" s="6" t="s">
        <v>7</v>
      </c>
      <c r="E34" s="21">
        <v>1427.43</v>
      </c>
      <c r="F34" s="4"/>
      <c r="G34" s="4"/>
      <c r="H34" s="9"/>
      <c r="I34" s="6"/>
      <c r="J34" s="22"/>
      <c r="K34" s="22"/>
    </row>
    <row r="35" spans="1:11" x14ac:dyDescent="0.2">
      <c r="A35" s="6"/>
      <c r="B35" s="9">
        <v>46295</v>
      </c>
      <c r="C35" s="9">
        <v>46323</v>
      </c>
      <c r="D35" s="6" t="s">
        <v>92</v>
      </c>
      <c r="E35" s="21">
        <v>1875</v>
      </c>
      <c r="G35" s="4"/>
      <c r="H35" s="9"/>
      <c r="I35" s="6"/>
      <c r="J35" s="22"/>
      <c r="K35" s="22"/>
    </row>
    <row r="36" spans="1:11" x14ac:dyDescent="0.2">
      <c r="A36" s="6"/>
      <c r="B36" s="9">
        <v>46304</v>
      </c>
      <c r="C36" s="9">
        <v>46322</v>
      </c>
      <c r="D36" s="6" t="s">
        <v>98</v>
      </c>
      <c r="E36" s="21">
        <v>715</v>
      </c>
      <c r="G36" s="4"/>
      <c r="H36" s="9"/>
      <c r="I36" s="6"/>
      <c r="J36" s="22"/>
      <c r="K36" s="22"/>
    </row>
    <row r="37" spans="1:11" x14ac:dyDescent="0.2">
      <c r="A37" s="6"/>
      <c r="B37" s="9">
        <v>46300</v>
      </c>
      <c r="C37" s="9">
        <v>46319</v>
      </c>
      <c r="D37" s="6" t="s">
        <v>7</v>
      </c>
      <c r="E37" s="21">
        <v>996.58</v>
      </c>
      <c r="G37" s="4"/>
      <c r="H37" s="9"/>
      <c r="I37" s="6"/>
      <c r="J37" s="22"/>
      <c r="K37" s="22"/>
    </row>
    <row r="38" spans="1:11" x14ac:dyDescent="0.2">
      <c r="A38" s="6"/>
      <c r="B38" s="9">
        <v>46232</v>
      </c>
      <c r="C38" s="9">
        <v>46318</v>
      </c>
      <c r="D38" s="6" t="s">
        <v>31</v>
      </c>
      <c r="E38" s="21">
        <v>5000</v>
      </c>
      <c r="G38" s="4"/>
      <c r="H38" s="9"/>
      <c r="I38" s="6"/>
      <c r="J38" s="22"/>
      <c r="K38" s="22"/>
    </row>
    <row r="39" spans="1:11" x14ac:dyDescent="0.2">
      <c r="A39" s="6"/>
      <c r="B39" s="9">
        <v>46264</v>
      </c>
      <c r="C39" s="9">
        <v>46318</v>
      </c>
      <c r="D39" s="6" t="s">
        <v>7</v>
      </c>
      <c r="E39" s="21">
        <v>996.58</v>
      </c>
      <c r="G39" s="4"/>
      <c r="H39" s="9"/>
      <c r="I39" s="6"/>
      <c r="J39" s="22"/>
      <c r="K39" s="22"/>
    </row>
    <row r="40" spans="1:11" x14ac:dyDescent="0.2">
      <c r="A40" s="6"/>
      <c r="B40" s="9">
        <v>46274</v>
      </c>
      <c r="C40" s="9">
        <v>46318</v>
      </c>
      <c r="D40" s="6" t="s">
        <v>7</v>
      </c>
      <c r="E40" s="21">
        <v>430.85</v>
      </c>
      <c r="G40" s="4"/>
      <c r="H40" s="9"/>
      <c r="I40" s="6"/>
      <c r="J40" s="22"/>
      <c r="K40" s="22"/>
    </row>
    <row r="41" spans="1:11" x14ac:dyDescent="0.2">
      <c r="A41" s="6"/>
      <c r="B41" s="9">
        <v>46304</v>
      </c>
      <c r="C41" s="9">
        <v>46317</v>
      </c>
      <c r="D41" s="6" t="s">
        <v>99</v>
      </c>
      <c r="E41" s="10">
        <v>2000</v>
      </c>
      <c r="F41" s="4"/>
      <c r="G41" s="4"/>
      <c r="H41" s="9"/>
      <c r="I41" s="6"/>
      <c r="J41" s="22"/>
      <c r="K41" s="22"/>
    </row>
    <row r="42" spans="1:11" x14ac:dyDescent="0.2">
      <c r="A42" s="6"/>
      <c r="B42" s="9">
        <v>46310</v>
      </c>
      <c r="C42" s="9">
        <v>46317</v>
      </c>
      <c r="D42" s="6" t="s">
        <v>7</v>
      </c>
      <c r="E42" s="10">
        <v>430.85</v>
      </c>
      <c r="F42" s="4"/>
      <c r="G42" s="4"/>
      <c r="H42" s="9"/>
      <c r="J42" s="22"/>
      <c r="K42" s="22"/>
    </row>
    <row r="43" spans="1:11" x14ac:dyDescent="0.2">
      <c r="A43" s="6"/>
      <c r="B43" s="9">
        <v>46301</v>
      </c>
      <c r="C43" s="9">
        <v>46316</v>
      </c>
      <c r="D43" s="2" t="s">
        <v>94</v>
      </c>
      <c r="E43" s="21">
        <v>4000</v>
      </c>
      <c r="F43" s="4"/>
      <c r="G43" s="4"/>
      <c r="H43" s="16"/>
      <c r="J43" s="22"/>
      <c r="K43" s="21"/>
    </row>
    <row r="44" spans="1:11" x14ac:dyDescent="0.2">
      <c r="A44" s="6"/>
      <c r="B44" s="9">
        <v>46310</v>
      </c>
      <c r="C44" s="9">
        <v>46316</v>
      </c>
      <c r="D44" s="2" t="s">
        <v>104</v>
      </c>
      <c r="E44" s="21">
        <v>1500</v>
      </c>
      <c r="F44" s="4"/>
      <c r="G44" s="4"/>
      <c r="H44" s="16"/>
      <c r="J44" s="22"/>
      <c r="K44" s="21"/>
    </row>
    <row r="45" spans="1:11" x14ac:dyDescent="0.2">
      <c r="A45" s="6"/>
      <c r="B45" s="9">
        <v>46309</v>
      </c>
      <c r="C45" s="9">
        <v>46313</v>
      </c>
      <c r="D45" s="2" t="s">
        <v>102</v>
      </c>
      <c r="E45" s="10">
        <v>525</v>
      </c>
      <c r="F45" s="4"/>
      <c r="G45" s="4"/>
      <c r="H45" s="9"/>
      <c r="J45" s="22"/>
      <c r="K45" s="21"/>
    </row>
    <row r="46" spans="1:11" x14ac:dyDescent="0.2">
      <c r="A46" s="6"/>
      <c r="B46" s="9">
        <v>46310</v>
      </c>
      <c r="C46" s="9">
        <v>46313</v>
      </c>
      <c r="D46" s="2" t="s">
        <v>102</v>
      </c>
      <c r="E46" s="21">
        <v>1087.32</v>
      </c>
      <c r="G46" s="4"/>
      <c r="H46" s="9"/>
      <c r="J46" s="22"/>
      <c r="K46" s="21"/>
    </row>
    <row r="47" spans="1:11" x14ac:dyDescent="0.2">
      <c r="A47" s="6"/>
      <c r="B47" s="9">
        <v>46295</v>
      </c>
      <c r="C47" s="9">
        <v>46312</v>
      </c>
      <c r="D47" s="2" t="s">
        <v>7</v>
      </c>
      <c r="E47" s="21">
        <v>547.62</v>
      </c>
      <c r="G47" s="4"/>
      <c r="H47" s="9"/>
      <c r="J47" s="22"/>
      <c r="K47" s="21"/>
    </row>
    <row r="48" spans="1:11" x14ac:dyDescent="0.2">
      <c r="A48" s="6"/>
      <c r="B48" s="9">
        <v>46293</v>
      </c>
      <c r="C48" s="9">
        <v>46311</v>
      </c>
      <c r="D48" s="2" t="s">
        <v>7</v>
      </c>
      <c r="E48" s="21">
        <v>430.85</v>
      </c>
      <c r="G48" s="4"/>
      <c r="H48" s="9"/>
      <c r="J48" s="22"/>
      <c r="K48" s="21"/>
    </row>
    <row r="49" spans="1:15" s="6" customFormat="1" x14ac:dyDescent="0.2">
      <c r="B49" s="9">
        <v>46304</v>
      </c>
      <c r="C49" s="9">
        <v>46311</v>
      </c>
      <c r="D49" s="6" t="s">
        <v>100</v>
      </c>
      <c r="E49" s="17">
        <v>2500</v>
      </c>
      <c r="G49" s="8"/>
      <c r="H49" s="9"/>
      <c r="J49" s="17"/>
      <c r="K49" s="17"/>
    </row>
    <row r="50" spans="1:15" s="6" customFormat="1" x14ac:dyDescent="0.2">
      <c r="B50" s="9">
        <v>46310</v>
      </c>
      <c r="C50" s="9">
        <v>46311</v>
      </c>
      <c r="D50" s="6" t="s">
        <v>7</v>
      </c>
      <c r="E50" s="17">
        <v>861.7</v>
      </c>
      <c r="G50" s="8"/>
      <c r="H50" s="9"/>
      <c r="J50" s="17"/>
      <c r="K50" s="17"/>
    </row>
    <row r="51" spans="1:15" s="6" customFormat="1" x14ac:dyDescent="0.2">
      <c r="B51" s="9"/>
      <c r="C51" s="9"/>
      <c r="E51" s="17"/>
      <c r="G51" s="8"/>
      <c r="H51" s="9"/>
      <c r="J51" s="17"/>
      <c r="K51" s="17"/>
    </row>
    <row r="52" spans="1:15" s="6" customFormat="1" x14ac:dyDescent="0.2">
      <c r="B52" s="9"/>
      <c r="C52" s="9"/>
      <c r="E52" s="17"/>
      <c r="G52" s="8"/>
      <c r="H52" s="9"/>
      <c r="J52" s="17"/>
      <c r="K52" s="17"/>
    </row>
    <row r="53" spans="1:15" s="6" customFormat="1" x14ac:dyDescent="0.2">
      <c r="B53" s="9"/>
      <c r="C53" s="9"/>
      <c r="E53" s="17"/>
      <c r="G53" s="8"/>
      <c r="H53" s="9"/>
      <c r="J53" s="17"/>
      <c r="K53" s="17"/>
    </row>
    <row r="54" spans="1:15" s="6" customFormat="1" x14ac:dyDescent="0.2">
      <c r="B54" s="9"/>
      <c r="C54" s="9"/>
      <c r="E54" s="17"/>
      <c r="G54" s="8"/>
      <c r="H54" s="9"/>
      <c r="J54" s="17"/>
      <c r="K54" s="17"/>
    </row>
    <row r="55" spans="1:15" x14ac:dyDescent="0.2">
      <c r="B55" s="9"/>
      <c r="C55" s="9"/>
      <c r="E55" s="10"/>
      <c r="H55" s="16"/>
      <c r="J55" s="22"/>
      <c r="K55" s="10"/>
    </row>
    <row r="56" spans="1:15" ht="13.5" thickBot="1" x14ac:dyDescent="0.25">
      <c r="A56" s="6"/>
      <c r="B56" s="9"/>
      <c r="C56" s="9"/>
      <c r="E56" s="14">
        <f>SUM(E7:E55)</f>
        <v>116045.75000000001</v>
      </c>
      <c r="F56" s="6"/>
      <c r="G56" s="6"/>
      <c r="H56" s="9"/>
      <c r="J56" s="14">
        <f>SUM(J8:J55)</f>
        <v>23548.14</v>
      </c>
    </row>
    <row r="57" spans="1:15" ht="13.5" thickTop="1" x14ac:dyDescent="0.2">
      <c r="B57" s="9"/>
      <c r="C57" s="9"/>
      <c r="H57" s="9"/>
    </row>
    <row r="58" spans="1:15" x14ac:dyDescent="0.2">
      <c r="B58" s="9"/>
      <c r="C58" s="9"/>
      <c r="F58" s="10"/>
      <c r="G58" s="10"/>
      <c r="H58" s="9"/>
      <c r="L58" s="10"/>
      <c r="N58" s="10"/>
      <c r="O58" s="10"/>
    </row>
    <row r="59" spans="1:15" x14ac:dyDescent="0.2">
      <c r="B59" s="9"/>
      <c r="C59" s="9"/>
      <c r="H59" s="9"/>
    </row>
    <row r="60" spans="1:15" x14ac:dyDescent="0.2">
      <c r="B60" s="9"/>
      <c r="C60" s="9"/>
      <c r="E60" s="2"/>
      <c r="H60" s="9"/>
      <c r="J60" s="11"/>
    </row>
    <row r="61" spans="1:15" ht="15" x14ac:dyDescent="0.25">
      <c r="F61"/>
      <c r="G61"/>
      <c r="H61" s="9"/>
      <c r="J61" s="4"/>
    </row>
    <row r="62" spans="1:15" ht="15" x14ac:dyDescent="0.25">
      <c r="F62"/>
      <c r="G62"/>
      <c r="H62"/>
      <c r="I62"/>
      <c r="J62" s="12"/>
    </row>
    <row r="63" spans="1:15" ht="15" x14ac:dyDescent="0.25">
      <c r="F63"/>
      <c r="G63"/>
      <c r="H63"/>
      <c r="I63"/>
      <c r="J63"/>
    </row>
    <row r="64" spans="1:15" ht="15" x14ac:dyDescent="0.25">
      <c r="F64"/>
      <c r="G64"/>
      <c r="H64"/>
      <c r="I64"/>
      <c r="J64"/>
    </row>
    <row r="65" spans="1:15" s="4" customFormat="1" x14ac:dyDescent="0.2">
      <c r="A65" s="2"/>
      <c r="B65" s="2"/>
      <c r="C65" s="2"/>
      <c r="D65" s="2"/>
      <c r="F65" s="2"/>
      <c r="G65" s="2"/>
      <c r="H65" s="2"/>
      <c r="I65" s="2"/>
      <c r="J65" s="5"/>
      <c r="K65" s="2"/>
      <c r="L65" s="2"/>
      <c r="M65" s="2"/>
      <c r="N65" s="2"/>
      <c r="O65" s="2"/>
    </row>
    <row r="66" spans="1:15" x14ac:dyDescent="0.2">
      <c r="E66" s="10"/>
    </row>
    <row r="67" spans="1:15" x14ac:dyDescent="0.2">
      <c r="E67" s="2"/>
    </row>
    <row r="68" spans="1:15" x14ac:dyDescent="0.2">
      <c r="E68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36019-64F1-4A62-AA7A-E9C215FE46EC}">
  <sheetPr>
    <pageSetUpPr fitToPage="1"/>
  </sheetPr>
  <dimension ref="A1:O68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B3" sqref="B3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93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H8" s="16">
        <v>46302</v>
      </c>
      <c r="I8" s="2" t="s">
        <v>96</v>
      </c>
      <c r="J8" s="5">
        <v>777.24</v>
      </c>
      <c r="K8" s="4"/>
    </row>
    <row r="9" spans="1:11" x14ac:dyDescent="0.2">
      <c r="A9" s="6"/>
      <c r="B9" s="9">
        <v>46262</v>
      </c>
      <c r="C9" s="9">
        <v>46513</v>
      </c>
      <c r="D9" s="6" t="s">
        <v>50</v>
      </c>
      <c r="E9" s="4">
        <v>2250</v>
      </c>
      <c r="F9" s="4"/>
      <c r="G9" s="4"/>
      <c r="H9" s="16">
        <v>46292</v>
      </c>
      <c r="I9" s="2" t="s">
        <v>80</v>
      </c>
      <c r="J9" s="5">
        <v>546.35</v>
      </c>
      <c r="K9" s="4"/>
    </row>
    <row r="10" spans="1:11" x14ac:dyDescent="0.2">
      <c r="A10" s="6"/>
      <c r="B10" s="9">
        <v>46240</v>
      </c>
      <c r="C10" s="9">
        <v>46483</v>
      </c>
      <c r="D10" s="6" t="s">
        <v>37</v>
      </c>
      <c r="E10" s="4">
        <v>1750</v>
      </c>
      <c r="F10" s="4"/>
      <c r="G10" s="4"/>
      <c r="H10" s="16"/>
      <c r="K10" s="4"/>
    </row>
    <row r="11" spans="1:11" x14ac:dyDescent="0.2">
      <c r="A11" s="6"/>
      <c r="B11" s="9">
        <v>46269</v>
      </c>
      <c r="C11" s="9">
        <v>46447</v>
      </c>
      <c r="D11" s="6" t="s">
        <v>66</v>
      </c>
      <c r="E11" s="4">
        <v>1875</v>
      </c>
      <c r="F11" s="4"/>
      <c r="G11" s="4"/>
      <c r="H11" s="16"/>
      <c r="K11" s="4"/>
    </row>
    <row r="12" spans="1:11" x14ac:dyDescent="0.2">
      <c r="A12" s="6"/>
      <c r="B12" s="9">
        <v>46247</v>
      </c>
      <c r="C12" s="9">
        <v>46446</v>
      </c>
      <c r="D12" s="6" t="s">
        <v>9</v>
      </c>
      <c r="E12" s="4">
        <v>4000</v>
      </c>
      <c r="F12" s="4"/>
      <c r="G12" s="4"/>
      <c r="H12" s="16"/>
      <c r="K12" s="4"/>
    </row>
    <row r="13" spans="1:11" x14ac:dyDescent="0.2">
      <c r="A13" s="6"/>
      <c r="B13" s="9">
        <v>46267</v>
      </c>
      <c r="C13" s="9">
        <v>46446</v>
      </c>
      <c r="D13" s="6" t="s">
        <v>61</v>
      </c>
      <c r="E13" s="4">
        <v>1500</v>
      </c>
      <c r="F13" s="4"/>
      <c r="G13" s="4"/>
      <c r="H13" s="16"/>
      <c r="K13" s="4"/>
    </row>
    <row r="14" spans="1:11" x14ac:dyDescent="0.2">
      <c r="A14" s="6"/>
      <c r="B14" s="9">
        <v>46218</v>
      </c>
      <c r="C14" s="9">
        <v>46397</v>
      </c>
      <c r="D14" s="6" t="s">
        <v>23</v>
      </c>
      <c r="E14" s="4">
        <v>10000</v>
      </c>
      <c r="F14" s="4"/>
      <c r="G14" s="4"/>
      <c r="H14" s="16"/>
      <c r="K14" s="4"/>
    </row>
    <row r="15" spans="1:11" x14ac:dyDescent="0.2">
      <c r="A15" s="6"/>
      <c r="B15" s="9">
        <v>46232</v>
      </c>
      <c r="C15" s="9">
        <v>46373</v>
      </c>
      <c r="D15" s="6" t="s">
        <v>30</v>
      </c>
      <c r="E15" s="4">
        <v>3000</v>
      </c>
      <c r="F15" s="4"/>
      <c r="G15" s="4"/>
      <c r="H15" s="16"/>
      <c r="K15" s="4"/>
    </row>
    <row r="16" spans="1:11" x14ac:dyDescent="0.2">
      <c r="A16" s="6"/>
      <c r="B16" s="9">
        <v>46295</v>
      </c>
      <c r="C16" s="9">
        <v>46373</v>
      </c>
      <c r="D16" s="6" t="s">
        <v>86</v>
      </c>
      <c r="E16" s="4">
        <v>6000</v>
      </c>
      <c r="F16" s="4"/>
      <c r="G16" s="4"/>
      <c r="H16" s="16"/>
      <c r="K16" s="4"/>
    </row>
    <row r="17" spans="1:11" x14ac:dyDescent="0.2">
      <c r="A17" s="6"/>
      <c r="B17" s="9">
        <v>46240</v>
      </c>
      <c r="C17" s="9">
        <v>46372</v>
      </c>
      <c r="D17" s="6" t="s">
        <v>38</v>
      </c>
      <c r="E17" s="4">
        <v>5000</v>
      </c>
      <c r="F17" s="4"/>
      <c r="G17" s="4"/>
      <c r="H17" s="16"/>
      <c r="K17" s="4"/>
    </row>
    <row r="18" spans="1:11" x14ac:dyDescent="0.2">
      <c r="A18" s="6"/>
      <c r="B18" s="9">
        <v>46206</v>
      </c>
      <c r="C18" s="9">
        <v>46367</v>
      </c>
      <c r="D18" s="6" t="s">
        <v>19</v>
      </c>
      <c r="E18" s="4">
        <v>6750</v>
      </c>
      <c r="F18" s="4"/>
      <c r="G18" s="4"/>
      <c r="H18" s="16"/>
      <c r="K18" s="4"/>
    </row>
    <row r="19" spans="1:11" x14ac:dyDescent="0.2">
      <c r="A19" s="6"/>
      <c r="B19" s="9">
        <v>46289</v>
      </c>
      <c r="C19" s="9">
        <v>46366</v>
      </c>
      <c r="D19" s="6" t="s">
        <v>82</v>
      </c>
      <c r="E19" s="4">
        <v>5000</v>
      </c>
      <c r="F19" s="4"/>
      <c r="G19" s="4"/>
      <c r="H19" s="16"/>
      <c r="K19" s="4"/>
    </row>
    <row r="20" spans="1:11" x14ac:dyDescent="0.2">
      <c r="A20" s="6"/>
      <c r="B20" s="9">
        <v>46295</v>
      </c>
      <c r="C20" s="9">
        <v>46362</v>
      </c>
      <c r="D20" s="6" t="s">
        <v>87</v>
      </c>
      <c r="E20" s="4">
        <v>1875</v>
      </c>
      <c r="F20" s="4"/>
      <c r="G20" s="4"/>
      <c r="H20" s="16"/>
      <c r="K20" s="4"/>
    </row>
    <row r="21" spans="1:11" x14ac:dyDescent="0.2">
      <c r="A21" s="6"/>
      <c r="B21" s="9">
        <v>46289</v>
      </c>
      <c r="C21" s="9">
        <v>46359</v>
      </c>
      <c r="D21" s="6" t="s">
        <v>83</v>
      </c>
      <c r="E21" s="4">
        <v>6000</v>
      </c>
      <c r="F21" s="4"/>
      <c r="G21" s="4"/>
      <c r="H21" s="16"/>
      <c r="K21" s="4"/>
    </row>
    <row r="22" spans="1:11" x14ac:dyDescent="0.2">
      <c r="A22" s="6"/>
      <c r="B22" s="9">
        <v>46295</v>
      </c>
      <c r="C22" s="9">
        <v>46355</v>
      </c>
      <c r="D22" s="6" t="s">
        <v>88</v>
      </c>
      <c r="E22" s="4">
        <v>1960</v>
      </c>
      <c r="F22" s="4"/>
      <c r="G22" s="4"/>
      <c r="H22" s="16"/>
      <c r="K22" s="4"/>
    </row>
    <row r="23" spans="1:11" x14ac:dyDescent="0.2">
      <c r="A23" s="6"/>
      <c r="B23" s="9">
        <v>46200</v>
      </c>
      <c r="C23" s="9">
        <v>46345</v>
      </c>
      <c r="D23" s="6" t="s">
        <v>18</v>
      </c>
      <c r="E23" s="4">
        <v>7000</v>
      </c>
      <c r="F23" s="4"/>
      <c r="G23" s="4"/>
      <c r="H23" s="16"/>
      <c r="K23" s="4"/>
    </row>
    <row r="24" spans="1:11" x14ac:dyDescent="0.2">
      <c r="A24" s="6"/>
      <c r="B24" s="9">
        <v>46295</v>
      </c>
      <c r="C24" s="9">
        <v>46344</v>
      </c>
      <c r="D24" s="6" t="s">
        <v>89</v>
      </c>
      <c r="E24" s="4">
        <v>3000</v>
      </c>
      <c r="F24" s="4"/>
      <c r="G24" s="4"/>
      <c r="H24" s="16"/>
      <c r="K24" s="4"/>
    </row>
    <row r="25" spans="1:11" x14ac:dyDescent="0.2">
      <c r="A25" s="6"/>
      <c r="B25" s="9">
        <v>46295</v>
      </c>
      <c r="C25" s="9">
        <v>46343</v>
      </c>
      <c r="D25" s="6" t="s">
        <v>90</v>
      </c>
      <c r="E25" s="4">
        <v>1750</v>
      </c>
      <c r="F25" s="4"/>
      <c r="G25" s="4"/>
      <c r="H25" s="16"/>
      <c r="K25" s="10"/>
    </row>
    <row r="26" spans="1:11" x14ac:dyDescent="0.2">
      <c r="A26" s="6"/>
      <c r="B26" s="9">
        <v>46302</v>
      </c>
      <c r="C26" s="9">
        <v>46343</v>
      </c>
      <c r="D26" s="6" t="s">
        <v>95</v>
      </c>
      <c r="E26" s="4">
        <v>1250</v>
      </c>
      <c r="F26" s="4"/>
      <c r="G26" s="4"/>
      <c r="H26" s="16"/>
      <c r="K26" s="10"/>
    </row>
    <row r="27" spans="1:11" x14ac:dyDescent="0.2">
      <c r="A27" s="6"/>
      <c r="B27" s="9">
        <v>46289</v>
      </c>
      <c r="C27" s="9">
        <v>46330</v>
      </c>
      <c r="D27" s="6" t="s">
        <v>84</v>
      </c>
      <c r="E27" s="4">
        <v>2000</v>
      </c>
      <c r="F27" s="4"/>
      <c r="G27" s="4"/>
      <c r="H27" s="16"/>
      <c r="K27" s="10"/>
    </row>
    <row r="28" spans="1:11" x14ac:dyDescent="0.2">
      <c r="A28" s="6"/>
      <c r="B28" s="9">
        <v>46295</v>
      </c>
      <c r="C28" s="9">
        <v>46330</v>
      </c>
      <c r="D28" s="6" t="s">
        <v>91</v>
      </c>
      <c r="E28" s="4">
        <v>600</v>
      </c>
      <c r="F28" s="4"/>
      <c r="G28" s="4"/>
      <c r="H28" s="16"/>
      <c r="K28" s="10"/>
    </row>
    <row r="29" spans="1:11" x14ac:dyDescent="0.2">
      <c r="A29" s="6"/>
      <c r="B29" s="9">
        <v>46231</v>
      </c>
      <c r="C29" s="9">
        <v>46327</v>
      </c>
      <c r="D29" s="6" t="s">
        <v>29</v>
      </c>
      <c r="E29" s="4">
        <v>1750</v>
      </c>
      <c r="F29" s="4"/>
      <c r="G29" s="4"/>
      <c r="H29" s="16"/>
      <c r="K29" s="10"/>
    </row>
    <row r="30" spans="1:11" x14ac:dyDescent="0.2">
      <c r="A30" s="6"/>
      <c r="B30" s="9">
        <v>46162</v>
      </c>
      <c r="C30" s="9">
        <v>46326</v>
      </c>
      <c r="D30" s="6" t="s">
        <v>13</v>
      </c>
      <c r="E30" s="4">
        <v>6000</v>
      </c>
      <c r="F30" s="4"/>
      <c r="G30" s="4"/>
      <c r="H30" s="16"/>
      <c r="K30" s="10"/>
    </row>
    <row r="31" spans="1:11" x14ac:dyDescent="0.2">
      <c r="A31" s="6"/>
      <c r="B31" s="9">
        <v>46289</v>
      </c>
      <c r="C31" s="9">
        <v>46325</v>
      </c>
      <c r="D31" s="6" t="s">
        <v>7</v>
      </c>
      <c r="E31" s="4">
        <v>1660.97</v>
      </c>
      <c r="F31" s="4"/>
      <c r="G31" s="4"/>
      <c r="H31" s="16"/>
      <c r="K31" s="10"/>
    </row>
    <row r="32" spans="1:11" x14ac:dyDescent="0.2">
      <c r="A32" s="6"/>
      <c r="B32" s="9">
        <v>46295</v>
      </c>
      <c r="C32" s="9">
        <v>46323</v>
      </c>
      <c r="D32" s="6" t="s">
        <v>92</v>
      </c>
      <c r="E32" s="4">
        <v>1875</v>
      </c>
      <c r="F32" s="4"/>
      <c r="G32" s="4"/>
      <c r="H32" s="9"/>
      <c r="I32" s="6"/>
      <c r="K32" s="5"/>
    </row>
    <row r="33" spans="1:11" x14ac:dyDescent="0.2">
      <c r="A33" s="6"/>
      <c r="B33" s="9">
        <v>46304</v>
      </c>
      <c r="C33" s="9">
        <v>46322</v>
      </c>
      <c r="D33" s="6" t="s">
        <v>98</v>
      </c>
      <c r="E33" s="4">
        <v>715</v>
      </c>
      <c r="F33" s="4"/>
      <c r="G33" s="4"/>
      <c r="H33" s="9"/>
      <c r="I33" s="6"/>
      <c r="K33" s="5"/>
    </row>
    <row r="34" spans="1:11" x14ac:dyDescent="0.2">
      <c r="A34" s="6"/>
      <c r="B34" s="9">
        <v>46300</v>
      </c>
      <c r="C34" s="9">
        <v>46319</v>
      </c>
      <c r="D34" s="6" t="s">
        <v>7</v>
      </c>
      <c r="E34" s="4">
        <v>996.58</v>
      </c>
      <c r="F34" s="4"/>
      <c r="G34" s="4"/>
      <c r="H34" s="9"/>
      <c r="I34" s="6"/>
      <c r="K34" s="5"/>
    </row>
    <row r="35" spans="1:11" x14ac:dyDescent="0.2">
      <c r="A35" s="6"/>
      <c r="B35" s="9">
        <v>46232</v>
      </c>
      <c r="C35" s="9">
        <v>46318</v>
      </c>
      <c r="D35" s="6" t="s">
        <v>31</v>
      </c>
      <c r="E35" s="4">
        <v>5000</v>
      </c>
      <c r="G35" s="4"/>
      <c r="H35" s="9"/>
      <c r="I35" s="6"/>
      <c r="K35" s="5"/>
    </row>
    <row r="36" spans="1:11" x14ac:dyDescent="0.2">
      <c r="A36" s="6"/>
      <c r="B36" s="9">
        <v>46264</v>
      </c>
      <c r="C36" s="9">
        <v>46318</v>
      </c>
      <c r="D36" s="6" t="s">
        <v>7</v>
      </c>
      <c r="E36" s="4">
        <v>996.58</v>
      </c>
      <c r="G36" s="4"/>
      <c r="H36" s="9"/>
      <c r="I36" s="6"/>
      <c r="K36" s="5"/>
    </row>
    <row r="37" spans="1:11" x14ac:dyDescent="0.2">
      <c r="A37" s="6"/>
      <c r="B37" s="9">
        <v>46274</v>
      </c>
      <c r="C37" s="9">
        <v>46318</v>
      </c>
      <c r="D37" s="6" t="s">
        <v>7</v>
      </c>
      <c r="E37" s="4">
        <v>430.85</v>
      </c>
      <c r="G37" s="4"/>
      <c r="H37" s="9"/>
      <c r="I37" s="6"/>
      <c r="K37" s="5"/>
    </row>
    <row r="38" spans="1:11" x14ac:dyDescent="0.2">
      <c r="A38" s="6"/>
      <c r="B38" s="9">
        <v>46304</v>
      </c>
      <c r="C38" s="9">
        <v>46317</v>
      </c>
      <c r="D38" s="6" t="s">
        <v>99</v>
      </c>
      <c r="E38" s="4">
        <v>2000</v>
      </c>
      <c r="G38" s="4"/>
      <c r="H38" s="9"/>
      <c r="I38" s="6"/>
      <c r="K38" s="5"/>
    </row>
    <row r="39" spans="1:11" x14ac:dyDescent="0.2">
      <c r="A39" s="6"/>
      <c r="B39" s="9">
        <v>46301</v>
      </c>
      <c r="C39" s="9">
        <v>46316</v>
      </c>
      <c r="D39" s="6" t="s">
        <v>94</v>
      </c>
      <c r="E39" s="4">
        <v>4000</v>
      </c>
      <c r="G39" s="4"/>
      <c r="H39" s="9"/>
      <c r="I39" s="6"/>
      <c r="K39" s="5"/>
    </row>
    <row r="40" spans="1:11" x14ac:dyDescent="0.2">
      <c r="A40" s="6"/>
      <c r="B40" s="9">
        <v>46295</v>
      </c>
      <c r="C40" s="9">
        <v>46312</v>
      </c>
      <c r="D40" s="6" t="s">
        <v>7</v>
      </c>
      <c r="E40" s="4">
        <v>547.62</v>
      </c>
      <c r="G40" s="4"/>
      <c r="H40" s="9"/>
      <c r="I40" s="6"/>
      <c r="K40" s="5"/>
    </row>
    <row r="41" spans="1:11" x14ac:dyDescent="0.2">
      <c r="A41" s="6"/>
      <c r="B41" s="9">
        <v>46293</v>
      </c>
      <c r="C41" s="9">
        <v>46311</v>
      </c>
      <c r="D41" s="6" t="s">
        <v>7</v>
      </c>
      <c r="E41" s="10">
        <v>430.85</v>
      </c>
      <c r="F41" s="4"/>
      <c r="G41" s="4"/>
      <c r="H41" s="9"/>
      <c r="I41" s="6"/>
      <c r="K41" s="5"/>
    </row>
    <row r="42" spans="1:11" x14ac:dyDescent="0.2">
      <c r="A42" s="6"/>
      <c r="B42" s="9">
        <v>46304</v>
      </c>
      <c r="C42" s="9">
        <v>46311</v>
      </c>
      <c r="D42" s="6" t="s">
        <v>100</v>
      </c>
      <c r="E42" s="10">
        <v>2500</v>
      </c>
      <c r="F42" s="4"/>
      <c r="G42" s="4"/>
      <c r="H42" s="9"/>
      <c r="K42" s="5"/>
    </row>
    <row r="43" spans="1:11" x14ac:dyDescent="0.2">
      <c r="A43" s="6"/>
      <c r="B43" s="9">
        <v>46270</v>
      </c>
      <c r="C43" s="9">
        <v>46309</v>
      </c>
      <c r="D43" s="2" t="s">
        <v>69</v>
      </c>
      <c r="E43" s="4">
        <v>825</v>
      </c>
      <c r="F43" s="4"/>
      <c r="G43" s="4"/>
      <c r="H43" s="16"/>
      <c r="K43" s="4"/>
    </row>
    <row r="44" spans="1:11" x14ac:dyDescent="0.2">
      <c r="A44" s="6"/>
      <c r="B44" s="9">
        <v>46281</v>
      </c>
      <c r="C44" s="9">
        <v>46309</v>
      </c>
      <c r="D44" s="2" t="s">
        <v>77</v>
      </c>
      <c r="E44" s="4">
        <v>1875</v>
      </c>
      <c r="F44" s="4"/>
      <c r="G44" s="4"/>
      <c r="H44" s="16"/>
      <c r="K44" s="4"/>
    </row>
    <row r="45" spans="1:11" x14ac:dyDescent="0.2">
      <c r="A45" s="6"/>
      <c r="B45" s="9">
        <v>46193</v>
      </c>
      <c r="C45" s="9">
        <v>46308</v>
      </c>
      <c r="D45" s="2" t="s">
        <v>15</v>
      </c>
      <c r="E45" s="10">
        <v>1750</v>
      </c>
      <c r="F45" s="4"/>
      <c r="G45" s="4"/>
      <c r="H45" s="9"/>
      <c r="K45" s="4"/>
    </row>
    <row r="46" spans="1:11" x14ac:dyDescent="0.2">
      <c r="A46" s="6"/>
      <c r="B46" s="9">
        <v>46267</v>
      </c>
      <c r="C46" s="9">
        <v>46308</v>
      </c>
      <c r="D46" s="2" t="s">
        <v>62</v>
      </c>
      <c r="E46" s="4">
        <v>12500</v>
      </c>
      <c r="G46" s="4"/>
      <c r="H46" s="9"/>
      <c r="K46" s="4"/>
    </row>
    <row r="47" spans="1:11" x14ac:dyDescent="0.2">
      <c r="A47" s="6"/>
      <c r="B47" s="9">
        <v>46289</v>
      </c>
      <c r="C47" s="9">
        <v>46308</v>
      </c>
      <c r="D47" s="2" t="s">
        <v>85</v>
      </c>
      <c r="E47" s="4">
        <v>1750</v>
      </c>
      <c r="G47" s="4"/>
      <c r="H47" s="9"/>
      <c r="K47" s="4"/>
    </row>
    <row r="48" spans="1:11" x14ac:dyDescent="0.2">
      <c r="A48" s="6"/>
      <c r="B48" s="9">
        <v>46197</v>
      </c>
      <c r="C48" s="9">
        <v>46307</v>
      </c>
      <c r="D48" s="2" t="s">
        <v>16</v>
      </c>
      <c r="E48" s="4">
        <v>4000</v>
      </c>
      <c r="G48" s="4"/>
      <c r="H48" s="9"/>
      <c r="K48" s="4"/>
    </row>
    <row r="49" spans="1:15" s="6" customFormat="1" x14ac:dyDescent="0.2">
      <c r="B49" s="9">
        <v>46303</v>
      </c>
      <c r="C49" s="9">
        <v>46307</v>
      </c>
      <c r="D49" s="6" t="s">
        <v>97</v>
      </c>
      <c r="E49" s="17">
        <v>1500</v>
      </c>
      <c r="G49" s="8"/>
      <c r="H49" s="9"/>
      <c r="J49" s="17"/>
      <c r="K49" s="17"/>
    </row>
    <row r="50" spans="1:15" s="6" customFormat="1" x14ac:dyDescent="0.2">
      <c r="B50" s="9"/>
      <c r="C50" s="9"/>
      <c r="E50" s="17"/>
      <c r="G50" s="8"/>
      <c r="H50" s="9"/>
      <c r="J50" s="17"/>
      <c r="K50" s="17"/>
    </row>
    <row r="51" spans="1:15" s="6" customFormat="1" x14ac:dyDescent="0.2">
      <c r="B51" s="9"/>
      <c r="C51" s="9"/>
      <c r="E51" s="17"/>
      <c r="G51" s="8"/>
      <c r="H51" s="9"/>
      <c r="J51" s="17"/>
      <c r="K51" s="17"/>
    </row>
    <row r="52" spans="1:15" s="6" customFormat="1" x14ac:dyDescent="0.2">
      <c r="B52" s="9"/>
      <c r="C52" s="9"/>
      <c r="E52" s="17"/>
      <c r="G52" s="8"/>
      <c r="H52" s="9"/>
      <c r="J52" s="17"/>
      <c r="K52" s="17"/>
    </row>
    <row r="53" spans="1:15" s="6" customFormat="1" x14ac:dyDescent="0.2">
      <c r="B53" s="9"/>
      <c r="C53" s="9"/>
      <c r="E53" s="17"/>
      <c r="G53" s="8"/>
      <c r="H53" s="9"/>
      <c r="J53" s="17"/>
      <c r="K53" s="17"/>
    </row>
    <row r="54" spans="1:15" s="6" customFormat="1" x14ac:dyDescent="0.2">
      <c r="B54" s="9"/>
      <c r="C54" s="9"/>
      <c r="E54" s="17"/>
      <c r="G54" s="8"/>
      <c r="H54" s="9"/>
      <c r="J54" s="17"/>
      <c r="K54" s="17"/>
    </row>
    <row r="55" spans="1:15" x14ac:dyDescent="0.2">
      <c r="B55" s="9"/>
      <c r="C55" s="9"/>
      <c r="E55" s="10"/>
      <c r="H55" s="16"/>
      <c r="K55" s="10"/>
    </row>
    <row r="56" spans="1:15" ht="13.5" thickBot="1" x14ac:dyDescent="0.25">
      <c r="A56" s="6"/>
      <c r="B56" s="9"/>
      <c r="C56" s="9"/>
      <c r="E56" s="14">
        <f>SUM(E7:E55)</f>
        <v>131663.45000000001</v>
      </c>
      <c r="F56" s="6"/>
      <c r="G56" s="6"/>
      <c r="H56" s="9"/>
      <c r="J56" s="14">
        <f>SUM(J8:J55)</f>
        <v>1323.5900000000001</v>
      </c>
    </row>
    <row r="57" spans="1:15" ht="13.5" thickTop="1" x14ac:dyDescent="0.2">
      <c r="B57" s="9"/>
      <c r="C57" s="9"/>
      <c r="H57" s="9"/>
    </row>
    <row r="58" spans="1:15" x14ac:dyDescent="0.2">
      <c r="B58" s="9"/>
      <c r="C58" s="9"/>
      <c r="F58" s="10"/>
      <c r="G58" s="10"/>
      <c r="H58" s="9"/>
      <c r="L58" s="10"/>
      <c r="N58" s="10"/>
      <c r="O58" s="10"/>
    </row>
    <row r="59" spans="1:15" x14ac:dyDescent="0.2">
      <c r="B59" s="9"/>
      <c r="C59" s="9"/>
      <c r="H59" s="9"/>
    </row>
    <row r="60" spans="1:15" x14ac:dyDescent="0.2">
      <c r="B60" s="9"/>
      <c r="C60" s="9"/>
      <c r="E60" s="2"/>
      <c r="H60" s="9"/>
      <c r="J60" s="11"/>
    </row>
    <row r="61" spans="1:15" ht="15" x14ac:dyDescent="0.25">
      <c r="F61"/>
      <c r="G61"/>
      <c r="H61" s="9"/>
      <c r="J61" s="4"/>
    </row>
    <row r="62" spans="1:15" ht="15" x14ac:dyDescent="0.25">
      <c r="F62"/>
      <c r="G62"/>
      <c r="H62"/>
      <c r="I62"/>
      <c r="J62" s="12"/>
    </row>
    <row r="63" spans="1:15" ht="15" x14ac:dyDescent="0.25">
      <c r="F63"/>
      <c r="G63"/>
      <c r="H63"/>
      <c r="I63"/>
      <c r="J63"/>
    </row>
    <row r="64" spans="1:15" ht="15" x14ac:dyDescent="0.25">
      <c r="F64"/>
      <c r="G64"/>
      <c r="H64"/>
      <c r="I64"/>
      <c r="J64"/>
    </row>
    <row r="65" spans="1:15" s="4" customFormat="1" x14ac:dyDescent="0.2">
      <c r="A65" s="2"/>
      <c r="B65" s="2"/>
      <c r="C65" s="2"/>
      <c r="D65" s="2"/>
      <c r="F65" s="2"/>
      <c r="G65" s="2"/>
      <c r="H65" s="2"/>
      <c r="I65" s="2"/>
      <c r="J65" s="5"/>
      <c r="K65" s="2"/>
      <c r="L65" s="2"/>
      <c r="M65" s="2"/>
      <c r="N65" s="2"/>
      <c r="O65" s="2"/>
    </row>
    <row r="66" spans="1:15" x14ac:dyDescent="0.2">
      <c r="E66" s="10"/>
    </row>
    <row r="67" spans="1:15" x14ac:dyDescent="0.2">
      <c r="E67" s="2"/>
    </row>
    <row r="68" spans="1:15" x14ac:dyDescent="0.2">
      <c r="E68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498E6-CFC7-41D9-AD89-BD9008A8D69D}">
  <sheetPr>
    <pageSetUpPr fitToPage="1"/>
  </sheetPr>
  <dimension ref="A1:O68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B3" sqref="B3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93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H8" s="16">
        <v>46299</v>
      </c>
      <c r="I8" s="2" t="s">
        <v>74</v>
      </c>
      <c r="J8" s="5">
        <v>2650.8</v>
      </c>
      <c r="K8" s="4"/>
    </row>
    <row r="9" spans="1:11" x14ac:dyDescent="0.2">
      <c r="A9" s="6"/>
      <c r="B9" s="9">
        <v>46262</v>
      </c>
      <c r="C9" s="9">
        <v>46513</v>
      </c>
      <c r="D9" s="6" t="s">
        <v>50</v>
      </c>
      <c r="E9" s="4">
        <v>2250</v>
      </c>
      <c r="F9" s="4"/>
      <c r="G9" s="4"/>
      <c r="H9" s="16">
        <v>46296</v>
      </c>
      <c r="I9" s="2" t="s">
        <v>65</v>
      </c>
      <c r="J9" s="5">
        <v>3040</v>
      </c>
      <c r="K9" s="4"/>
    </row>
    <row r="10" spans="1:11" x14ac:dyDescent="0.2">
      <c r="A10" s="6"/>
      <c r="B10" s="9">
        <v>46240</v>
      </c>
      <c r="C10" s="9">
        <v>46483</v>
      </c>
      <c r="D10" s="6" t="s">
        <v>37</v>
      </c>
      <c r="E10" s="4">
        <v>1750</v>
      </c>
      <c r="F10" s="4"/>
      <c r="G10" s="4"/>
      <c r="H10" s="16">
        <v>46292</v>
      </c>
      <c r="I10" s="2" t="s">
        <v>80</v>
      </c>
      <c r="J10" s="5">
        <v>546.35</v>
      </c>
      <c r="K10" s="4"/>
    </row>
    <row r="11" spans="1:11" x14ac:dyDescent="0.2">
      <c r="A11" s="6"/>
      <c r="B11" s="9">
        <v>46269</v>
      </c>
      <c r="C11" s="9">
        <v>46447</v>
      </c>
      <c r="D11" s="6" t="s">
        <v>66</v>
      </c>
      <c r="E11" s="4">
        <v>1875</v>
      </c>
      <c r="F11" s="4"/>
      <c r="G11" s="4"/>
      <c r="H11" s="16"/>
      <c r="K11" s="4"/>
    </row>
    <row r="12" spans="1:11" x14ac:dyDescent="0.2">
      <c r="A12" s="6"/>
      <c r="B12" s="9">
        <v>46247</v>
      </c>
      <c r="C12" s="9">
        <v>46446</v>
      </c>
      <c r="D12" s="6" t="s">
        <v>9</v>
      </c>
      <c r="E12" s="4">
        <v>4000</v>
      </c>
      <c r="F12" s="4"/>
      <c r="G12" s="4"/>
      <c r="H12" s="16"/>
      <c r="K12" s="4"/>
    </row>
    <row r="13" spans="1:11" x14ac:dyDescent="0.2">
      <c r="A13" s="6"/>
      <c r="B13" s="9">
        <v>46267</v>
      </c>
      <c r="C13" s="9">
        <v>46446</v>
      </c>
      <c r="D13" s="6" t="s">
        <v>61</v>
      </c>
      <c r="E13" s="4">
        <v>1500</v>
      </c>
      <c r="F13" s="4"/>
      <c r="G13" s="4"/>
      <c r="H13" s="16"/>
      <c r="K13" s="4"/>
    </row>
    <row r="14" spans="1:11" x14ac:dyDescent="0.2">
      <c r="A14" s="6"/>
      <c r="B14" s="9">
        <v>46218</v>
      </c>
      <c r="C14" s="9">
        <v>46397</v>
      </c>
      <c r="D14" s="6" t="s">
        <v>23</v>
      </c>
      <c r="E14" s="4">
        <v>10000</v>
      </c>
      <c r="F14" s="4"/>
      <c r="G14" s="4"/>
      <c r="H14" s="16"/>
      <c r="K14" s="4"/>
    </row>
    <row r="15" spans="1:11" x14ac:dyDescent="0.2">
      <c r="A15" s="6"/>
      <c r="B15" s="9">
        <v>46232</v>
      </c>
      <c r="C15" s="9">
        <v>46373</v>
      </c>
      <c r="D15" s="6" t="s">
        <v>30</v>
      </c>
      <c r="E15" s="4">
        <v>3000</v>
      </c>
      <c r="F15" s="4"/>
      <c r="G15" s="4"/>
      <c r="H15" s="16"/>
      <c r="K15" s="4"/>
    </row>
    <row r="16" spans="1:11" x14ac:dyDescent="0.2">
      <c r="A16" s="6"/>
      <c r="B16" s="9">
        <v>46295</v>
      </c>
      <c r="C16" s="9">
        <v>46373</v>
      </c>
      <c r="D16" s="6" t="s">
        <v>86</v>
      </c>
      <c r="E16" s="4">
        <v>6000</v>
      </c>
      <c r="F16" s="4"/>
      <c r="G16" s="4"/>
      <c r="H16" s="16"/>
      <c r="K16" s="4"/>
    </row>
    <row r="17" spans="1:11" x14ac:dyDescent="0.2">
      <c r="A17" s="6"/>
      <c r="B17" s="9">
        <v>46240</v>
      </c>
      <c r="C17" s="9">
        <v>46372</v>
      </c>
      <c r="D17" s="6" t="s">
        <v>38</v>
      </c>
      <c r="E17" s="4">
        <v>5000</v>
      </c>
      <c r="F17" s="4"/>
      <c r="G17" s="4"/>
      <c r="H17" s="16"/>
      <c r="K17" s="4"/>
    </row>
    <row r="18" spans="1:11" x14ac:dyDescent="0.2">
      <c r="A18" s="6"/>
      <c r="B18" s="9">
        <v>46206</v>
      </c>
      <c r="C18" s="9">
        <v>46367</v>
      </c>
      <c r="D18" s="6" t="s">
        <v>19</v>
      </c>
      <c r="E18" s="4">
        <v>6750</v>
      </c>
      <c r="F18" s="4"/>
      <c r="G18" s="4"/>
      <c r="H18" s="16"/>
      <c r="K18" s="4"/>
    </row>
    <row r="19" spans="1:11" x14ac:dyDescent="0.2">
      <c r="A19" s="6"/>
      <c r="B19" s="9">
        <v>46289</v>
      </c>
      <c r="C19" s="9">
        <v>46366</v>
      </c>
      <c r="D19" s="6" t="s">
        <v>82</v>
      </c>
      <c r="E19" s="4">
        <v>5000</v>
      </c>
      <c r="F19" s="4"/>
      <c r="G19" s="4"/>
      <c r="H19" s="16"/>
      <c r="K19" s="4"/>
    </row>
    <row r="20" spans="1:11" x14ac:dyDescent="0.2">
      <c r="A20" s="6"/>
      <c r="B20" s="9">
        <v>46295</v>
      </c>
      <c r="C20" s="9">
        <v>46362</v>
      </c>
      <c r="D20" s="6" t="s">
        <v>87</v>
      </c>
      <c r="E20" s="4">
        <v>1875</v>
      </c>
      <c r="F20" s="4"/>
      <c r="G20" s="4"/>
      <c r="H20" s="16"/>
      <c r="K20" s="4"/>
    </row>
    <row r="21" spans="1:11" x14ac:dyDescent="0.2">
      <c r="A21" s="6"/>
      <c r="B21" s="9">
        <v>46289</v>
      </c>
      <c r="C21" s="9">
        <v>46359</v>
      </c>
      <c r="D21" s="6" t="s">
        <v>83</v>
      </c>
      <c r="E21" s="4">
        <v>6000</v>
      </c>
      <c r="F21" s="4"/>
      <c r="G21" s="4"/>
      <c r="H21" s="16"/>
      <c r="K21" s="4"/>
    </row>
    <row r="22" spans="1:11" x14ac:dyDescent="0.2">
      <c r="A22" s="6"/>
      <c r="B22" s="9">
        <v>46295</v>
      </c>
      <c r="C22" s="9">
        <v>46355</v>
      </c>
      <c r="D22" s="6" t="s">
        <v>88</v>
      </c>
      <c r="E22" s="4">
        <v>1960</v>
      </c>
      <c r="F22" s="4"/>
      <c r="G22" s="4"/>
      <c r="H22" s="16"/>
      <c r="K22" s="4"/>
    </row>
    <row r="23" spans="1:11" x14ac:dyDescent="0.2">
      <c r="A23" s="6"/>
      <c r="B23" s="9">
        <v>46200</v>
      </c>
      <c r="C23" s="9">
        <v>46345</v>
      </c>
      <c r="D23" s="6" t="s">
        <v>18</v>
      </c>
      <c r="E23" s="4">
        <v>7000</v>
      </c>
      <c r="F23" s="4"/>
      <c r="G23" s="4"/>
      <c r="H23" s="16"/>
      <c r="K23" s="4"/>
    </row>
    <row r="24" spans="1:11" x14ac:dyDescent="0.2">
      <c r="A24" s="6"/>
      <c r="B24" s="9">
        <v>46295</v>
      </c>
      <c r="C24" s="9">
        <v>46344</v>
      </c>
      <c r="D24" s="6" t="s">
        <v>89</v>
      </c>
      <c r="E24" s="4">
        <v>3000</v>
      </c>
      <c r="F24" s="4"/>
      <c r="G24" s="4"/>
      <c r="H24" s="16"/>
      <c r="K24" s="4"/>
    </row>
    <row r="25" spans="1:11" x14ac:dyDescent="0.2">
      <c r="A25" s="6"/>
      <c r="B25" s="9">
        <v>46295</v>
      </c>
      <c r="C25" s="9">
        <v>46343</v>
      </c>
      <c r="D25" s="6" t="s">
        <v>90</v>
      </c>
      <c r="E25" s="4">
        <v>1750</v>
      </c>
      <c r="F25" s="4"/>
      <c r="G25" s="4"/>
      <c r="H25" s="16"/>
      <c r="K25" s="10"/>
    </row>
    <row r="26" spans="1:11" x14ac:dyDescent="0.2">
      <c r="A26" s="6"/>
      <c r="B26" s="9">
        <v>46289</v>
      </c>
      <c r="C26" s="9">
        <v>46330</v>
      </c>
      <c r="D26" s="6" t="s">
        <v>84</v>
      </c>
      <c r="E26" s="4">
        <v>2000</v>
      </c>
      <c r="F26" s="4"/>
      <c r="G26" s="4"/>
      <c r="H26" s="16"/>
      <c r="K26" s="10"/>
    </row>
    <row r="27" spans="1:11" x14ac:dyDescent="0.2">
      <c r="A27" s="6"/>
      <c r="B27" s="9">
        <v>46295</v>
      </c>
      <c r="C27" s="9">
        <v>46330</v>
      </c>
      <c r="D27" s="6" t="s">
        <v>91</v>
      </c>
      <c r="E27" s="4">
        <v>600</v>
      </c>
      <c r="F27" s="4"/>
      <c r="G27" s="4"/>
      <c r="H27" s="16"/>
      <c r="K27" s="10"/>
    </row>
    <row r="28" spans="1:11" x14ac:dyDescent="0.2">
      <c r="A28" s="6"/>
      <c r="B28" s="9">
        <v>46231</v>
      </c>
      <c r="C28" s="9">
        <v>46327</v>
      </c>
      <c r="D28" s="6" t="s">
        <v>29</v>
      </c>
      <c r="E28" s="4">
        <v>1750</v>
      </c>
      <c r="F28" s="4"/>
      <c r="G28" s="4"/>
      <c r="H28" s="16"/>
      <c r="K28" s="10"/>
    </row>
    <row r="29" spans="1:11" x14ac:dyDescent="0.2">
      <c r="A29" s="6"/>
      <c r="B29" s="9">
        <v>46162</v>
      </c>
      <c r="C29" s="9">
        <v>46326</v>
      </c>
      <c r="D29" s="6" t="s">
        <v>13</v>
      </c>
      <c r="E29" s="4">
        <v>6000</v>
      </c>
      <c r="F29" s="4"/>
      <c r="G29" s="4"/>
      <c r="H29" s="16"/>
      <c r="K29" s="10"/>
    </row>
    <row r="30" spans="1:11" x14ac:dyDescent="0.2">
      <c r="A30" s="6"/>
      <c r="B30" s="9">
        <v>46289</v>
      </c>
      <c r="C30" s="9">
        <v>46325</v>
      </c>
      <c r="D30" s="6" t="s">
        <v>7</v>
      </c>
      <c r="E30" s="4">
        <v>1660.97</v>
      </c>
      <c r="F30" s="4"/>
      <c r="G30" s="4"/>
      <c r="H30" s="16"/>
      <c r="K30" s="10"/>
    </row>
    <row r="31" spans="1:11" x14ac:dyDescent="0.2">
      <c r="A31" s="6"/>
      <c r="B31" s="9">
        <v>46295</v>
      </c>
      <c r="C31" s="9">
        <v>46323</v>
      </c>
      <c r="D31" s="6" t="s">
        <v>92</v>
      </c>
      <c r="E31" s="4">
        <v>1875</v>
      </c>
      <c r="F31" s="4"/>
      <c r="G31" s="4"/>
      <c r="H31" s="16"/>
      <c r="K31" s="10"/>
    </row>
    <row r="32" spans="1:11" x14ac:dyDescent="0.2">
      <c r="A32" s="6"/>
      <c r="B32" s="9">
        <v>46232</v>
      </c>
      <c r="C32" s="9">
        <v>46318</v>
      </c>
      <c r="D32" s="6" t="s">
        <v>31</v>
      </c>
      <c r="E32" s="4">
        <v>5000</v>
      </c>
      <c r="F32" s="4"/>
      <c r="G32" s="4"/>
      <c r="H32" s="9"/>
      <c r="I32" s="6"/>
      <c r="K32" s="5"/>
    </row>
    <row r="33" spans="1:11" x14ac:dyDescent="0.2">
      <c r="A33" s="6"/>
      <c r="B33" s="9">
        <v>46264</v>
      </c>
      <c r="C33" s="9">
        <v>46318</v>
      </c>
      <c r="D33" s="6" t="s">
        <v>7</v>
      </c>
      <c r="E33" s="4">
        <v>996.58</v>
      </c>
      <c r="F33" s="4"/>
      <c r="G33" s="4"/>
      <c r="H33" s="9"/>
      <c r="I33" s="6"/>
      <c r="K33" s="5"/>
    </row>
    <row r="34" spans="1:11" x14ac:dyDescent="0.2">
      <c r="A34" s="6"/>
      <c r="B34" s="9">
        <v>46274</v>
      </c>
      <c r="C34" s="9">
        <v>46318</v>
      </c>
      <c r="D34" s="6" t="s">
        <v>7</v>
      </c>
      <c r="E34" s="4">
        <v>430.85</v>
      </c>
      <c r="F34" s="4"/>
      <c r="G34" s="4"/>
      <c r="H34" s="9"/>
      <c r="I34" s="6"/>
      <c r="K34" s="5"/>
    </row>
    <row r="35" spans="1:11" x14ac:dyDescent="0.2">
      <c r="A35" s="6"/>
      <c r="B35" s="9">
        <v>46295</v>
      </c>
      <c r="C35" s="9">
        <v>46312</v>
      </c>
      <c r="D35" s="6" t="s">
        <v>7</v>
      </c>
      <c r="E35" s="4">
        <v>547.62</v>
      </c>
      <c r="G35" s="4"/>
      <c r="H35" s="9"/>
      <c r="I35" s="6"/>
      <c r="K35" s="5"/>
    </row>
    <row r="36" spans="1:11" x14ac:dyDescent="0.2">
      <c r="A36" s="6"/>
      <c r="B36" s="9">
        <v>46293</v>
      </c>
      <c r="C36" s="9">
        <v>46311</v>
      </c>
      <c r="D36" s="6" t="s">
        <v>7</v>
      </c>
      <c r="E36" s="4">
        <v>430.85</v>
      </c>
      <c r="G36" s="4"/>
      <c r="H36" s="9"/>
      <c r="I36" s="6"/>
      <c r="K36" s="5"/>
    </row>
    <row r="37" spans="1:11" x14ac:dyDescent="0.2">
      <c r="A37" s="6"/>
      <c r="B37" s="9">
        <v>46270</v>
      </c>
      <c r="C37" s="9">
        <v>46309</v>
      </c>
      <c r="D37" s="6" t="s">
        <v>69</v>
      </c>
      <c r="E37" s="4">
        <v>825</v>
      </c>
      <c r="G37" s="4"/>
      <c r="H37" s="9"/>
      <c r="I37" s="6"/>
      <c r="K37" s="5"/>
    </row>
    <row r="38" spans="1:11" x14ac:dyDescent="0.2">
      <c r="A38" s="6"/>
      <c r="B38" s="9">
        <v>46281</v>
      </c>
      <c r="C38" s="9">
        <v>46309</v>
      </c>
      <c r="D38" s="6" t="s">
        <v>77</v>
      </c>
      <c r="E38" s="4">
        <v>1875</v>
      </c>
      <c r="G38" s="4"/>
      <c r="H38" s="9"/>
      <c r="I38" s="6"/>
      <c r="K38" s="5"/>
    </row>
    <row r="39" spans="1:11" x14ac:dyDescent="0.2">
      <c r="A39" s="6"/>
      <c r="B39" s="9">
        <v>46193</v>
      </c>
      <c r="C39" s="9">
        <v>46308</v>
      </c>
      <c r="D39" s="6" t="s">
        <v>15</v>
      </c>
      <c r="E39" s="4">
        <v>1750</v>
      </c>
      <c r="G39" s="4"/>
      <c r="H39" s="9"/>
      <c r="I39" s="6"/>
      <c r="K39" s="5"/>
    </row>
    <row r="40" spans="1:11" x14ac:dyDescent="0.2">
      <c r="A40" s="6"/>
      <c r="B40" s="9">
        <v>46267</v>
      </c>
      <c r="C40" s="9">
        <v>46308</v>
      </c>
      <c r="D40" s="6" t="s">
        <v>62</v>
      </c>
      <c r="E40" s="4">
        <v>12500</v>
      </c>
      <c r="G40" s="4"/>
      <c r="H40" s="9"/>
      <c r="I40" s="6"/>
      <c r="K40" s="5"/>
    </row>
    <row r="41" spans="1:11" x14ac:dyDescent="0.2">
      <c r="A41" s="6"/>
      <c r="B41" s="9">
        <v>46289</v>
      </c>
      <c r="C41" s="9">
        <v>46308</v>
      </c>
      <c r="D41" s="6" t="s">
        <v>85</v>
      </c>
      <c r="E41" s="10">
        <v>1750</v>
      </c>
      <c r="F41" s="4"/>
      <c r="G41" s="4"/>
      <c r="H41" s="9"/>
      <c r="I41" s="6"/>
      <c r="K41" s="5"/>
    </row>
    <row r="42" spans="1:11" x14ac:dyDescent="0.2">
      <c r="A42" s="6"/>
      <c r="B42" s="9">
        <v>46197</v>
      </c>
      <c r="C42" s="9">
        <v>46307</v>
      </c>
      <c r="D42" s="6" t="s">
        <v>16</v>
      </c>
      <c r="E42" s="10">
        <v>4000</v>
      </c>
      <c r="F42" s="4"/>
      <c r="G42" s="4"/>
      <c r="H42" s="9"/>
      <c r="K42" s="5"/>
    </row>
    <row r="43" spans="1:11" x14ac:dyDescent="0.2">
      <c r="A43" s="6"/>
      <c r="B43" s="9">
        <v>46288</v>
      </c>
      <c r="C43" s="9">
        <v>46303</v>
      </c>
      <c r="D43" s="2" t="s">
        <v>7</v>
      </c>
      <c r="E43" s="4">
        <v>996.58</v>
      </c>
      <c r="F43" s="4"/>
      <c r="G43" s="4"/>
      <c r="H43" s="16"/>
      <c r="K43" s="4"/>
    </row>
    <row r="44" spans="1:11" x14ac:dyDescent="0.2">
      <c r="A44" s="6"/>
      <c r="B44" s="9">
        <v>46281</v>
      </c>
      <c r="C44" s="9">
        <v>46302</v>
      </c>
      <c r="D44" s="2" t="s">
        <v>78</v>
      </c>
      <c r="E44" s="4">
        <v>600</v>
      </c>
      <c r="F44" s="4"/>
      <c r="G44" s="4"/>
      <c r="H44" s="16"/>
      <c r="K44" s="4"/>
    </row>
    <row r="45" spans="1:11" x14ac:dyDescent="0.2">
      <c r="A45" s="6"/>
      <c r="B45" s="9">
        <v>46213</v>
      </c>
      <c r="C45" s="9">
        <v>46301</v>
      </c>
      <c r="D45" s="2" t="s">
        <v>21</v>
      </c>
      <c r="E45" s="10">
        <v>1750</v>
      </c>
      <c r="F45" s="4"/>
      <c r="G45" s="4"/>
      <c r="H45" s="9"/>
      <c r="K45" s="4"/>
    </row>
    <row r="46" spans="1:11" x14ac:dyDescent="0.2">
      <c r="A46" s="6"/>
      <c r="B46" s="9">
        <v>46267</v>
      </c>
      <c r="C46" s="9">
        <v>46301</v>
      </c>
      <c r="D46" s="2" t="s">
        <v>63</v>
      </c>
      <c r="E46" s="4">
        <v>500</v>
      </c>
      <c r="G46" s="4"/>
      <c r="H46" s="9"/>
      <c r="K46" s="4"/>
    </row>
    <row r="47" spans="1:11" x14ac:dyDescent="0.2">
      <c r="A47" s="6"/>
      <c r="B47" s="9"/>
      <c r="C47" s="9"/>
      <c r="G47" s="4"/>
      <c r="H47" s="9"/>
      <c r="K47" s="4"/>
    </row>
    <row r="48" spans="1:11" x14ac:dyDescent="0.2">
      <c r="A48" s="6"/>
      <c r="B48" s="9"/>
      <c r="C48" s="9"/>
      <c r="G48" s="4"/>
      <c r="H48" s="9"/>
      <c r="K48" s="4"/>
    </row>
    <row r="49" spans="1:15" s="6" customFormat="1" x14ac:dyDescent="0.2">
      <c r="B49" s="9"/>
      <c r="C49" s="9"/>
      <c r="E49" s="17"/>
      <c r="G49" s="8"/>
      <c r="H49" s="9"/>
      <c r="J49" s="17"/>
      <c r="K49" s="17"/>
    </row>
    <row r="50" spans="1:15" s="6" customFormat="1" x14ac:dyDescent="0.2">
      <c r="B50" s="9"/>
      <c r="C50" s="9"/>
      <c r="E50" s="17"/>
      <c r="G50" s="8"/>
      <c r="H50" s="9"/>
      <c r="J50" s="17"/>
      <c r="K50" s="17"/>
    </row>
    <row r="51" spans="1:15" s="6" customFormat="1" x14ac:dyDescent="0.2">
      <c r="B51" s="9"/>
      <c r="C51" s="9"/>
      <c r="E51" s="17"/>
      <c r="G51" s="8"/>
      <c r="H51" s="9"/>
      <c r="J51" s="17"/>
      <c r="K51" s="17"/>
    </row>
    <row r="52" spans="1:15" s="6" customFormat="1" x14ac:dyDescent="0.2">
      <c r="B52" s="9"/>
      <c r="C52" s="9"/>
      <c r="E52" s="17"/>
      <c r="G52" s="8"/>
      <c r="H52" s="9"/>
      <c r="J52" s="17"/>
      <c r="K52" s="17"/>
    </row>
    <row r="53" spans="1:15" s="6" customFormat="1" x14ac:dyDescent="0.2">
      <c r="B53" s="9"/>
      <c r="C53" s="9"/>
      <c r="E53" s="17"/>
      <c r="G53" s="8"/>
      <c r="H53" s="9"/>
      <c r="J53" s="17"/>
      <c r="K53" s="17"/>
    </row>
    <row r="54" spans="1:15" s="6" customFormat="1" x14ac:dyDescent="0.2">
      <c r="B54" s="9"/>
      <c r="C54" s="9"/>
      <c r="E54" s="17"/>
      <c r="G54" s="8"/>
      <c r="H54" s="9"/>
      <c r="J54" s="17"/>
      <c r="K54" s="17"/>
    </row>
    <row r="55" spans="1:15" x14ac:dyDescent="0.2">
      <c r="B55" s="9"/>
      <c r="C55" s="9"/>
      <c r="E55" s="10"/>
      <c r="H55" s="16"/>
      <c r="K55" s="10"/>
    </row>
    <row r="56" spans="1:15" ht="13.5" thickBot="1" x14ac:dyDescent="0.25">
      <c r="A56" s="6"/>
      <c r="B56" s="9"/>
      <c r="C56" s="9"/>
      <c r="E56" s="14">
        <f>SUM(E7:E55)</f>
        <v>122548.45000000001</v>
      </c>
      <c r="F56" s="6"/>
      <c r="G56" s="6"/>
      <c r="H56" s="9"/>
      <c r="J56" s="14">
        <f>SUM(J8:J55)</f>
        <v>6237.1500000000005</v>
      </c>
    </row>
    <row r="57" spans="1:15" ht="13.5" thickTop="1" x14ac:dyDescent="0.2">
      <c r="B57" s="9"/>
      <c r="C57" s="9"/>
      <c r="H57" s="9"/>
    </row>
    <row r="58" spans="1:15" x14ac:dyDescent="0.2">
      <c r="B58" s="9"/>
      <c r="C58" s="9"/>
      <c r="F58" s="10"/>
      <c r="G58" s="10"/>
      <c r="H58" s="9"/>
      <c r="L58" s="10"/>
      <c r="N58" s="10"/>
      <c r="O58" s="10"/>
    </row>
    <row r="59" spans="1:15" x14ac:dyDescent="0.2">
      <c r="B59" s="9"/>
      <c r="C59" s="9"/>
      <c r="H59" s="9"/>
    </row>
    <row r="60" spans="1:15" x14ac:dyDescent="0.2">
      <c r="B60" s="9"/>
      <c r="C60" s="9"/>
      <c r="E60" s="2"/>
      <c r="H60" s="9"/>
      <c r="J60" s="11"/>
    </row>
    <row r="61" spans="1:15" ht="15" x14ac:dyDescent="0.25">
      <c r="F61"/>
      <c r="G61"/>
      <c r="H61" s="9"/>
      <c r="J61" s="4"/>
    </row>
    <row r="62" spans="1:15" ht="15" x14ac:dyDescent="0.25">
      <c r="F62"/>
      <c r="G62"/>
      <c r="H62"/>
      <c r="I62"/>
      <c r="J62" s="12"/>
    </row>
    <row r="63" spans="1:15" ht="15" x14ac:dyDescent="0.25">
      <c r="F63"/>
      <c r="G63"/>
      <c r="H63"/>
      <c r="I63"/>
      <c r="J63"/>
    </row>
    <row r="64" spans="1:15" ht="15" x14ac:dyDescent="0.25">
      <c r="F64"/>
      <c r="G64"/>
      <c r="H64"/>
      <c r="I64"/>
      <c r="J64"/>
    </row>
    <row r="65" spans="1:15" s="4" customFormat="1" x14ac:dyDescent="0.2">
      <c r="A65" s="2"/>
      <c r="B65" s="2"/>
      <c r="C65" s="2"/>
      <c r="D65" s="2"/>
      <c r="F65" s="2"/>
      <c r="G65" s="2"/>
      <c r="H65" s="2"/>
      <c r="I65" s="2"/>
      <c r="J65" s="5"/>
      <c r="K65" s="2"/>
      <c r="L65" s="2"/>
      <c r="M65" s="2"/>
      <c r="N65" s="2"/>
      <c r="O65" s="2"/>
    </row>
    <row r="66" spans="1:15" x14ac:dyDescent="0.2">
      <c r="E66" s="10"/>
    </row>
    <row r="67" spans="1:15" x14ac:dyDescent="0.2">
      <c r="E67" s="2"/>
    </row>
    <row r="68" spans="1:15" x14ac:dyDescent="0.2">
      <c r="E68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03339-E9B3-462C-8FE1-A3B38133271E}">
  <sheetPr>
    <pageSetUpPr fitToPage="1"/>
  </sheetPr>
  <dimension ref="A1:O68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B3" sqref="B3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59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H8" s="16">
        <v>46292</v>
      </c>
      <c r="I8" s="2" t="s">
        <v>80</v>
      </c>
      <c r="J8" s="5">
        <v>546.35</v>
      </c>
      <c r="K8" s="4"/>
    </row>
    <row r="9" spans="1:11" x14ac:dyDescent="0.2">
      <c r="A9" s="6"/>
      <c r="B9" s="9">
        <v>46262</v>
      </c>
      <c r="C9" s="9">
        <v>46513</v>
      </c>
      <c r="D9" s="6" t="s">
        <v>50</v>
      </c>
      <c r="E9" s="4">
        <v>2250</v>
      </c>
      <c r="F9" s="4"/>
      <c r="G9" s="4"/>
      <c r="H9" s="16"/>
      <c r="K9" s="4"/>
    </row>
    <row r="10" spans="1:11" x14ac:dyDescent="0.2">
      <c r="A10" s="6"/>
      <c r="B10" s="9">
        <v>46240</v>
      </c>
      <c r="C10" s="9">
        <v>46483</v>
      </c>
      <c r="D10" s="6" t="s">
        <v>37</v>
      </c>
      <c r="E10" s="4">
        <v>1750</v>
      </c>
      <c r="F10" s="4"/>
      <c r="G10" s="4"/>
      <c r="H10" s="16"/>
      <c r="K10" s="4"/>
    </row>
    <row r="11" spans="1:11" x14ac:dyDescent="0.2">
      <c r="A11" s="6"/>
      <c r="B11" s="9">
        <v>46269</v>
      </c>
      <c r="C11" s="9">
        <v>46447</v>
      </c>
      <c r="D11" s="6" t="s">
        <v>66</v>
      </c>
      <c r="E11" s="4">
        <v>1875</v>
      </c>
      <c r="F11" s="4"/>
      <c r="G11" s="4"/>
      <c r="H11" s="16"/>
      <c r="K11" s="4"/>
    </row>
    <row r="12" spans="1:11" x14ac:dyDescent="0.2">
      <c r="A12" s="6"/>
      <c r="B12" s="9">
        <v>46247</v>
      </c>
      <c r="C12" s="9">
        <v>46446</v>
      </c>
      <c r="D12" s="6" t="s">
        <v>9</v>
      </c>
      <c r="E12" s="4">
        <v>4000</v>
      </c>
      <c r="F12" s="4"/>
      <c r="G12" s="4"/>
      <c r="H12" s="16"/>
      <c r="K12" s="4"/>
    </row>
    <row r="13" spans="1:11" x14ac:dyDescent="0.2">
      <c r="A13" s="6"/>
      <c r="B13" s="9">
        <v>46267</v>
      </c>
      <c r="C13" s="9">
        <v>46446</v>
      </c>
      <c r="D13" s="6" t="s">
        <v>61</v>
      </c>
      <c r="E13" s="4">
        <v>1500</v>
      </c>
      <c r="F13" s="4"/>
      <c r="G13" s="4"/>
      <c r="H13" s="16"/>
      <c r="K13" s="4"/>
    </row>
    <row r="14" spans="1:11" x14ac:dyDescent="0.2">
      <c r="A14" s="6"/>
      <c r="B14" s="9">
        <v>46218</v>
      </c>
      <c r="C14" s="9">
        <v>46397</v>
      </c>
      <c r="D14" s="6" t="s">
        <v>23</v>
      </c>
      <c r="E14" s="4">
        <v>10000</v>
      </c>
      <c r="F14" s="4"/>
      <c r="G14" s="4"/>
      <c r="H14" s="16"/>
      <c r="K14" s="4"/>
    </row>
    <row r="15" spans="1:11" x14ac:dyDescent="0.2">
      <c r="A15" s="6"/>
      <c r="B15" s="9">
        <v>46232</v>
      </c>
      <c r="C15" s="9">
        <v>46373</v>
      </c>
      <c r="D15" s="6" t="s">
        <v>30</v>
      </c>
      <c r="E15" s="4">
        <v>3000</v>
      </c>
      <c r="F15" s="4"/>
      <c r="G15" s="4"/>
      <c r="H15" s="16"/>
      <c r="K15" s="4"/>
    </row>
    <row r="16" spans="1:11" x14ac:dyDescent="0.2">
      <c r="A16" s="6"/>
      <c r="B16" s="9">
        <v>46295</v>
      </c>
      <c r="C16" s="9">
        <v>46373</v>
      </c>
      <c r="D16" s="6" t="s">
        <v>86</v>
      </c>
      <c r="E16" s="4">
        <v>6000</v>
      </c>
      <c r="F16" s="4"/>
      <c r="G16" s="4"/>
      <c r="H16" s="16"/>
      <c r="K16" s="4"/>
    </row>
    <row r="17" spans="1:11" x14ac:dyDescent="0.2">
      <c r="A17" s="6"/>
      <c r="B17" s="9">
        <v>46240</v>
      </c>
      <c r="C17" s="9">
        <v>46372</v>
      </c>
      <c r="D17" s="6" t="s">
        <v>38</v>
      </c>
      <c r="E17" s="4">
        <v>5000</v>
      </c>
      <c r="F17" s="4"/>
      <c r="G17" s="4"/>
      <c r="H17" s="16"/>
      <c r="K17" s="4"/>
    </row>
    <row r="18" spans="1:11" x14ac:dyDescent="0.2">
      <c r="A18" s="6"/>
      <c r="B18" s="9">
        <v>46206</v>
      </c>
      <c r="C18" s="9">
        <v>46367</v>
      </c>
      <c r="D18" s="6" t="s">
        <v>19</v>
      </c>
      <c r="E18" s="4">
        <v>6750</v>
      </c>
      <c r="F18" s="4"/>
      <c r="G18" s="4"/>
      <c r="H18" s="16"/>
      <c r="K18" s="4"/>
    </row>
    <row r="19" spans="1:11" x14ac:dyDescent="0.2">
      <c r="A19" s="6"/>
      <c r="B19" s="9">
        <v>46289</v>
      </c>
      <c r="C19" s="9">
        <v>46366</v>
      </c>
      <c r="D19" s="6" t="s">
        <v>82</v>
      </c>
      <c r="E19" s="4">
        <v>5000</v>
      </c>
      <c r="F19" s="4"/>
      <c r="G19" s="4"/>
      <c r="H19" s="16"/>
      <c r="K19" s="4"/>
    </row>
    <row r="20" spans="1:11" x14ac:dyDescent="0.2">
      <c r="A20" s="6"/>
      <c r="B20" s="9">
        <v>46295</v>
      </c>
      <c r="C20" s="9">
        <v>46362</v>
      </c>
      <c r="D20" s="6" t="s">
        <v>87</v>
      </c>
      <c r="E20" s="4">
        <v>1875</v>
      </c>
      <c r="F20" s="4"/>
      <c r="G20" s="4"/>
      <c r="H20" s="16"/>
      <c r="K20" s="4"/>
    </row>
    <row r="21" spans="1:11" x14ac:dyDescent="0.2">
      <c r="A21" s="6"/>
      <c r="B21" s="9">
        <v>46289</v>
      </c>
      <c r="C21" s="9">
        <v>46359</v>
      </c>
      <c r="D21" s="6" t="s">
        <v>83</v>
      </c>
      <c r="E21" s="4">
        <v>6000</v>
      </c>
      <c r="F21" s="4"/>
      <c r="G21" s="4"/>
      <c r="H21" s="16"/>
      <c r="K21" s="4"/>
    </row>
    <row r="22" spans="1:11" x14ac:dyDescent="0.2">
      <c r="A22" s="6"/>
      <c r="B22" s="9">
        <v>46295</v>
      </c>
      <c r="C22" s="9">
        <v>46355</v>
      </c>
      <c r="D22" s="6" t="s">
        <v>88</v>
      </c>
      <c r="E22" s="4">
        <v>1960</v>
      </c>
      <c r="F22" s="4"/>
      <c r="G22" s="4"/>
      <c r="H22" s="16"/>
      <c r="K22" s="4"/>
    </row>
    <row r="23" spans="1:11" x14ac:dyDescent="0.2">
      <c r="A23" s="6"/>
      <c r="B23" s="9">
        <v>46200</v>
      </c>
      <c r="C23" s="9">
        <v>46345</v>
      </c>
      <c r="D23" s="6" t="s">
        <v>18</v>
      </c>
      <c r="E23" s="4">
        <v>7000</v>
      </c>
      <c r="F23" s="4"/>
      <c r="G23" s="4"/>
      <c r="H23" s="16"/>
      <c r="K23" s="4"/>
    </row>
    <row r="24" spans="1:11" x14ac:dyDescent="0.2">
      <c r="A24" s="6"/>
      <c r="B24" s="9">
        <v>46295</v>
      </c>
      <c r="C24" s="9">
        <v>46344</v>
      </c>
      <c r="D24" s="6" t="s">
        <v>89</v>
      </c>
      <c r="E24" s="4">
        <v>3000</v>
      </c>
      <c r="F24" s="4"/>
      <c r="G24" s="4"/>
      <c r="H24" s="16"/>
      <c r="K24" s="4"/>
    </row>
    <row r="25" spans="1:11" x14ac:dyDescent="0.2">
      <c r="A25" s="6"/>
      <c r="B25" s="9">
        <v>46295</v>
      </c>
      <c r="C25" s="9">
        <v>46343</v>
      </c>
      <c r="D25" s="6" t="s">
        <v>90</v>
      </c>
      <c r="E25" s="4">
        <v>1750</v>
      </c>
      <c r="F25" s="4"/>
      <c r="G25" s="4"/>
      <c r="H25" s="16"/>
      <c r="K25" s="10"/>
    </row>
    <row r="26" spans="1:11" x14ac:dyDescent="0.2">
      <c r="A26" s="6"/>
      <c r="B26" s="9">
        <v>46289</v>
      </c>
      <c r="C26" s="9">
        <v>46330</v>
      </c>
      <c r="D26" s="6" t="s">
        <v>84</v>
      </c>
      <c r="E26" s="4">
        <v>2000</v>
      </c>
      <c r="F26" s="4"/>
      <c r="G26" s="4"/>
      <c r="H26" s="16"/>
      <c r="K26" s="10"/>
    </row>
    <row r="27" spans="1:11" x14ac:dyDescent="0.2">
      <c r="A27" s="6"/>
      <c r="B27" s="9">
        <v>46295</v>
      </c>
      <c r="C27" s="9">
        <v>46330</v>
      </c>
      <c r="D27" s="6" t="s">
        <v>91</v>
      </c>
      <c r="E27" s="4">
        <v>600</v>
      </c>
      <c r="F27" s="4"/>
      <c r="G27" s="4"/>
      <c r="H27" s="16"/>
      <c r="K27" s="10"/>
    </row>
    <row r="28" spans="1:11" x14ac:dyDescent="0.2">
      <c r="A28" s="6"/>
      <c r="B28" s="9">
        <v>46231</v>
      </c>
      <c r="C28" s="9">
        <v>46327</v>
      </c>
      <c r="D28" s="6" t="s">
        <v>29</v>
      </c>
      <c r="E28" s="4">
        <v>1750</v>
      </c>
      <c r="F28" s="4"/>
      <c r="G28" s="4"/>
      <c r="H28" s="16"/>
      <c r="K28" s="10"/>
    </row>
    <row r="29" spans="1:11" x14ac:dyDescent="0.2">
      <c r="A29" s="6"/>
      <c r="B29" s="9">
        <v>46162</v>
      </c>
      <c r="C29" s="9">
        <v>46326</v>
      </c>
      <c r="D29" s="6" t="s">
        <v>13</v>
      </c>
      <c r="E29" s="4">
        <v>6000</v>
      </c>
      <c r="F29" s="4"/>
      <c r="G29" s="4"/>
      <c r="H29" s="16"/>
      <c r="K29" s="10"/>
    </row>
    <row r="30" spans="1:11" x14ac:dyDescent="0.2">
      <c r="A30" s="6"/>
      <c r="B30" s="9">
        <v>46289</v>
      </c>
      <c r="C30" s="9">
        <v>46325</v>
      </c>
      <c r="D30" s="6" t="s">
        <v>7</v>
      </c>
      <c r="E30" s="4">
        <v>1660.97</v>
      </c>
      <c r="F30" s="4"/>
      <c r="G30" s="4"/>
      <c r="H30" s="16"/>
      <c r="K30" s="10"/>
    </row>
    <row r="31" spans="1:11" x14ac:dyDescent="0.2">
      <c r="A31" s="6"/>
      <c r="B31" s="9">
        <v>46295</v>
      </c>
      <c r="C31" s="9">
        <v>46323</v>
      </c>
      <c r="D31" s="6" t="s">
        <v>92</v>
      </c>
      <c r="E31" s="4">
        <v>1875</v>
      </c>
      <c r="F31" s="4"/>
      <c r="G31" s="4"/>
      <c r="H31" s="16"/>
      <c r="K31" s="10"/>
    </row>
    <row r="32" spans="1:11" x14ac:dyDescent="0.2">
      <c r="A32" s="6"/>
      <c r="B32" s="9">
        <v>46232</v>
      </c>
      <c r="C32" s="9">
        <v>46318</v>
      </c>
      <c r="D32" s="6" t="s">
        <v>31</v>
      </c>
      <c r="E32" s="4">
        <v>5000</v>
      </c>
      <c r="F32" s="4"/>
      <c r="G32" s="4"/>
      <c r="H32" s="9"/>
      <c r="I32" s="6"/>
      <c r="K32" s="5"/>
    </row>
    <row r="33" spans="1:11" x14ac:dyDescent="0.2">
      <c r="A33" s="6"/>
      <c r="B33" s="9">
        <v>46264</v>
      </c>
      <c r="C33" s="9">
        <v>46318</v>
      </c>
      <c r="D33" s="6" t="s">
        <v>7</v>
      </c>
      <c r="E33" s="4">
        <v>996.58</v>
      </c>
      <c r="F33" s="4"/>
      <c r="G33" s="4"/>
      <c r="H33" s="9"/>
      <c r="I33" s="6"/>
      <c r="K33" s="5"/>
    </row>
    <row r="34" spans="1:11" x14ac:dyDescent="0.2">
      <c r="A34" s="6"/>
      <c r="B34" s="9">
        <v>46274</v>
      </c>
      <c r="C34" s="9">
        <v>46318</v>
      </c>
      <c r="D34" s="6" t="s">
        <v>7</v>
      </c>
      <c r="E34" s="4">
        <v>430.85</v>
      </c>
      <c r="F34" s="4"/>
      <c r="G34" s="4"/>
      <c r="H34" s="9"/>
      <c r="I34" s="6"/>
      <c r="K34" s="5"/>
    </row>
    <row r="35" spans="1:11" x14ac:dyDescent="0.2">
      <c r="A35" s="6"/>
      <c r="B35" s="9">
        <v>46295</v>
      </c>
      <c r="C35" s="9">
        <v>46312</v>
      </c>
      <c r="D35" s="6" t="s">
        <v>7</v>
      </c>
      <c r="E35" s="4">
        <v>547.62</v>
      </c>
      <c r="G35" s="4"/>
      <c r="H35" s="9"/>
      <c r="I35" s="6"/>
      <c r="K35" s="5"/>
    </row>
    <row r="36" spans="1:11" x14ac:dyDescent="0.2">
      <c r="A36" s="6"/>
      <c r="B36" s="9">
        <v>46293</v>
      </c>
      <c r="C36" s="9">
        <v>46311</v>
      </c>
      <c r="D36" s="6" t="s">
        <v>7</v>
      </c>
      <c r="E36" s="4">
        <v>430.85</v>
      </c>
      <c r="G36" s="4"/>
      <c r="H36" s="9"/>
      <c r="I36" s="6"/>
      <c r="K36" s="5"/>
    </row>
    <row r="37" spans="1:11" x14ac:dyDescent="0.2">
      <c r="A37" s="6"/>
      <c r="B37" s="9">
        <v>46270</v>
      </c>
      <c r="C37" s="9">
        <v>46309</v>
      </c>
      <c r="D37" s="6" t="s">
        <v>69</v>
      </c>
      <c r="E37" s="4">
        <v>825</v>
      </c>
      <c r="G37" s="4"/>
      <c r="H37" s="9"/>
      <c r="I37" s="6"/>
      <c r="K37" s="5"/>
    </row>
    <row r="38" spans="1:11" x14ac:dyDescent="0.2">
      <c r="A38" s="6"/>
      <c r="B38" s="9">
        <v>46281</v>
      </c>
      <c r="C38" s="9">
        <v>46309</v>
      </c>
      <c r="D38" s="6" t="s">
        <v>77</v>
      </c>
      <c r="E38" s="4">
        <v>1875</v>
      </c>
      <c r="G38" s="4"/>
      <c r="H38" s="9"/>
      <c r="I38" s="6"/>
      <c r="K38" s="5"/>
    </row>
    <row r="39" spans="1:11" x14ac:dyDescent="0.2">
      <c r="A39" s="6"/>
      <c r="B39" s="9">
        <v>46193</v>
      </c>
      <c r="C39" s="9">
        <v>46308</v>
      </c>
      <c r="D39" s="6" t="s">
        <v>15</v>
      </c>
      <c r="E39" s="4">
        <v>1750</v>
      </c>
      <c r="G39" s="4"/>
      <c r="H39" s="9"/>
      <c r="I39" s="6"/>
      <c r="K39" s="5"/>
    </row>
    <row r="40" spans="1:11" x14ac:dyDescent="0.2">
      <c r="A40" s="6"/>
      <c r="B40" s="9">
        <v>46267</v>
      </c>
      <c r="C40" s="9">
        <v>46308</v>
      </c>
      <c r="D40" s="6" t="s">
        <v>62</v>
      </c>
      <c r="E40" s="4">
        <v>12500</v>
      </c>
      <c r="G40" s="4"/>
      <c r="H40" s="9"/>
      <c r="I40" s="6"/>
      <c r="K40" s="5"/>
    </row>
    <row r="41" spans="1:11" x14ac:dyDescent="0.2">
      <c r="A41" s="6"/>
      <c r="B41" s="9">
        <v>46289</v>
      </c>
      <c r="C41" s="9">
        <v>46308</v>
      </c>
      <c r="D41" s="6" t="s">
        <v>85</v>
      </c>
      <c r="E41" s="10">
        <v>1750</v>
      </c>
      <c r="F41" s="4"/>
      <c r="G41" s="4"/>
      <c r="H41" s="9"/>
      <c r="I41" s="6"/>
      <c r="K41" s="5"/>
    </row>
    <row r="42" spans="1:11" x14ac:dyDescent="0.2">
      <c r="A42" s="6"/>
      <c r="B42" s="9">
        <v>46197</v>
      </c>
      <c r="C42" s="9">
        <v>46307</v>
      </c>
      <c r="D42" s="6" t="s">
        <v>16</v>
      </c>
      <c r="E42" s="10">
        <v>4000</v>
      </c>
      <c r="F42" s="4"/>
      <c r="G42" s="4"/>
      <c r="H42" s="9"/>
      <c r="K42" s="5"/>
    </row>
    <row r="43" spans="1:11" x14ac:dyDescent="0.2">
      <c r="A43" s="6"/>
      <c r="B43" s="9">
        <v>46288</v>
      </c>
      <c r="C43" s="9">
        <v>46303</v>
      </c>
      <c r="D43" s="2" t="s">
        <v>7</v>
      </c>
      <c r="E43" s="4">
        <v>996.58</v>
      </c>
      <c r="F43" s="4"/>
      <c r="G43" s="4"/>
      <c r="H43" s="16"/>
      <c r="K43" s="4"/>
    </row>
    <row r="44" spans="1:11" x14ac:dyDescent="0.2">
      <c r="A44" s="6"/>
      <c r="B44" s="9">
        <v>46281</v>
      </c>
      <c r="C44" s="9">
        <v>46302</v>
      </c>
      <c r="D44" s="2" t="s">
        <v>78</v>
      </c>
      <c r="E44" s="4">
        <v>600</v>
      </c>
      <c r="F44" s="4"/>
      <c r="G44" s="4"/>
      <c r="H44" s="16"/>
      <c r="K44" s="4"/>
    </row>
    <row r="45" spans="1:11" x14ac:dyDescent="0.2">
      <c r="A45" s="6"/>
      <c r="B45" s="9">
        <v>46213</v>
      </c>
      <c r="C45" s="9">
        <v>46301</v>
      </c>
      <c r="D45" s="2" t="s">
        <v>21</v>
      </c>
      <c r="E45" s="10">
        <v>1750</v>
      </c>
      <c r="F45" s="4"/>
      <c r="G45" s="4"/>
      <c r="H45" s="9"/>
      <c r="K45" s="4"/>
    </row>
    <row r="46" spans="1:11" x14ac:dyDescent="0.2">
      <c r="A46" s="6"/>
      <c r="B46" s="9">
        <v>46267</v>
      </c>
      <c r="C46" s="9">
        <v>46301</v>
      </c>
      <c r="D46" s="2" t="s">
        <v>63</v>
      </c>
      <c r="E46" s="4">
        <v>500</v>
      </c>
      <c r="G46" s="4"/>
      <c r="H46" s="9"/>
      <c r="K46" s="4"/>
    </row>
    <row r="47" spans="1:11" x14ac:dyDescent="0.2">
      <c r="A47" s="6"/>
      <c r="B47" s="9">
        <v>46280</v>
      </c>
      <c r="C47" s="9">
        <v>46299</v>
      </c>
      <c r="D47" s="2" t="s">
        <v>74</v>
      </c>
      <c r="E47" s="4">
        <v>1500</v>
      </c>
      <c r="G47" s="4"/>
      <c r="H47" s="9"/>
      <c r="K47" s="4"/>
    </row>
    <row r="48" spans="1:11" x14ac:dyDescent="0.2">
      <c r="A48" s="6"/>
      <c r="B48" s="9">
        <v>46268</v>
      </c>
      <c r="C48" s="9">
        <v>46296</v>
      </c>
      <c r="D48" s="2" t="s">
        <v>65</v>
      </c>
      <c r="E48" s="4">
        <v>2000</v>
      </c>
      <c r="G48" s="4"/>
      <c r="H48" s="9"/>
      <c r="K48" s="4"/>
    </row>
    <row r="49" spans="1:15" s="6" customFormat="1" x14ac:dyDescent="0.2">
      <c r="B49" s="9"/>
      <c r="C49" s="9"/>
      <c r="E49" s="17"/>
      <c r="G49" s="8"/>
      <c r="H49" s="9"/>
      <c r="J49" s="17"/>
      <c r="K49" s="17"/>
    </row>
    <row r="50" spans="1:15" s="6" customFormat="1" x14ac:dyDescent="0.2">
      <c r="B50" s="9"/>
      <c r="C50" s="9"/>
      <c r="E50" s="17"/>
      <c r="G50" s="8"/>
      <c r="H50" s="9"/>
      <c r="J50" s="17"/>
      <c r="K50" s="17"/>
    </row>
    <row r="51" spans="1:15" s="6" customFormat="1" x14ac:dyDescent="0.2">
      <c r="B51" s="9"/>
      <c r="C51" s="9"/>
      <c r="E51" s="17"/>
      <c r="G51" s="8"/>
      <c r="H51" s="9"/>
      <c r="J51" s="17"/>
      <c r="K51" s="17"/>
    </row>
    <row r="52" spans="1:15" s="6" customFormat="1" x14ac:dyDescent="0.2">
      <c r="B52" s="9"/>
      <c r="C52" s="9"/>
      <c r="E52" s="17"/>
      <c r="G52" s="8"/>
      <c r="H52" s="9"/>
      <c r="J52" s="17"/>
      <c r="K52" s="17"/>
    </row>
    <row r="53" spans="1:15" s="6" customFormat="1" x14ac:dyDescent="0.2">
      <c r="B53" s="9"/>
      <c r="C53" s="9"/>
      <c r="E53" s="17"/>
      <c r="G53" s="8"/>
      <c r="H53" s="9"/>
      <c r="J53" s="17"/>
      <c r="K53" s="17"/>
    </row>
    <row r="54" spans="1:15" s="6" customFormat="1" x14ac:dyDescent="0.2">
      <c r="B54" s="9"/>
      <c r="C54" s="9"/>
      <c r="E54" s="17"/>
      <c r="G54" s="8"/>
      <c r="H54" s="9"/>
      <c r="J54" s="17"/>
      <c r="K54" s="17"/>
    </row>
    <row r="55" spans="1:15" x14ac:dyDescent="0.2">
      <c r="B55" s="9"/>
      <c r="C55" s="9"/>
      <c r="E55" s="10"/>
      <c r="H55" s="16"/>
      <c r="K55" s="10"/>
    </row>
    <row r="56" spans="1:15" ht="13.5" thickBot="1" x14ac:dyDescent="0.25">
      <c r="A56" s="6"/>
      <c r="B56" s="9"/>
      <c r="C56" s="9"/>
      <c r="E56" s="14">
        <f>SUM(E7:E55)</f>
        <v>126048.45000000001</v>
      </c>
      <c r="F56" s="6"/>
      <c r="G56" s="6"/>
      <c r="H56" s="9"/>
      <c r="J56" s="14">
        <f>SUM(J8:J55)</f>
        <v>546.35</v>
      </c>
    </row>
    <row r="57" spans="1:15" ht="13.5" thickTop="1" x14ac:dyDescent="0.2">
      <c r="B57" s="9"/>
      <c r="C57" s="9"/>
      <c r="H57" s="9"/>
    </row>
    <row r="58" spans="1:15" x14ac:dyDescent="0.2">
      <c r="B58" s="9"/>
      <c r="C58" s="9"/>
      <c r="F58" s="10"/>
      <c r="G58" s="10"/>
      <c r="H58" s="9"/>
      <c r="L58" s="10"/>
      <c r="N58" s="10"/>
      <c r="O58" s="10"/>
    </row>
    <row r="59" spans="1:15" x14ac:dyDescent="0.2">
      <c r="B59" s="9"/>
      <c r="C59" s="9"/>
      <c r="H59" s="9"/>
    </row>
    <row r="60" spans="1:15" x14ac:dyDescent="0.2">
      <c r="B60" s="9"/>
      <c r="C60" s="9"/>
      <c r="E60" s="2"/>
      <c r="H60" s="9"/>
      <c r="J60" s="11"/>
    </row>
    <row r="61" spans="1:15" ht="15" x14ac:dyDescent="0.25">
      <c r="F61"/>
      <c r="G61"/>
      <c r="H61" s="9"/>
      <c r="J61" s="4"/>
    </row>
    <row r="62" spans="1:15" ht="15" x14ac:dyDescent="0.25">
      <c r="F62"/>
      <c r="G62"/>
      <c r="H62"/>
      <c r="I62"/>
      <c r="J62" s="12"/>
    </row>
    <row r="63" spans="1:15" ht="15" x14ac:dyDescent="0.25">
      <c r="F63"/>
      <c r="G63"/>
      <c r="H63"/>
      <c r="I63"/>
      <c r="J63"/>
    </row>
    <row r="64" spans="1:15" ht="15" x14ac:dyDescent="0.25">
      <c r="F64"/>
      <c r="G64"/>
      <c r="H64"/>
      <c r="I64"/>
      <c r="J64"/>
    </row>
    <row r="65" spans="1:15" s="4" customFormat="1" x14ac:dyDescent="0.2">
      <c r="A65" s="2"/>
      <c r="B65" s="2"/>
      <c r="C65" s="2"/>
      <c r="D65" s="2"/>
      <c r="F65" s="2"/>
      <c r="G65" s="2"/>
      <c r="H65" s="2"/>
      <c r="I65" s="2"/>
      <c r="J65" s="5"/>
      <c r="K65" s="2"/>
      <c r="L65" s="2"/>
      <c r="M65" s="2"/>
      <c r="N65" s="2"/>
      <c r="O65" s="2"/>
    </row>
    <row r="66" spans="1:15" x14ac:dyDescent="0.2">
      <c r="E66" s="10"/>
    </row>
    <row r="67" spans="1:15" x14ac:dyDescent="0.2">
      <c r="E67" s="2"/>
    </row>
    <row r="68" spans="1:15" x14ac:dyDescent="0.2">
      <c r="E68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BA35B-7058-4BDC-AE4C-D5F27767911E}">
  <sheetPr>
    <pageSetUpPr fitToPage="1"/>
  </sheetPr>
  <dimension ref="A1:O68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B3" sqref="B3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59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H8" s="16">
        <v>46292</v>
      </c>
      <c r="I8" s="2" t="s">
        <v>80</v>
      </c>
      <c r="J8" s="5">
        <v>546.35</v>
      </c>
      <c r="K8" s="4"/>
    </row>
    <row r="9" spans="1:11" x14ac:dyDescent="0.2">
      <c r="A9" s="6"/>
      <c r="B9" s="9">
        <v>46262</v>
      </c>
      <c r="C9" s="9">
        <v>46513</v>
      </c>
      <c r="D9" s="6" t="s">
        <v>50</v>
      </c>
      <c r="E9" s="4">
        <v>2250</v>
      </c>
      <c r="F9" s="4"/>
      <c r="G9" s="4"/>
      <c r="H9" s="16"/>
      <c r="K9" s="4"/>
    </row>
    <row r="10" spans="1:11" x14ac:dyDescent="0.2">
      <c r="A10" s="6"/>
      <c r="B10" s="9">
        <v>46240</v>
      </c>
      <c r="C10" s="9">
        <v>46483</v>
      </c>
      <c r="D10" s="6" t="s">
        <v>37</v>
      </c>
      <c r="E10" s="4">
        <v>1750</v>
      </c>
      <c r="F10" s="4"/>
      <c r="G10" s="4"/>
      <c r="H10" s="16"/>
      <c r="K10" s="4"/>
    </row>
    <row r="11" spans="1:11" x14ac:dyDescent="0.2">
      <c r="A11" s="6"/>
      <c r="B11" s="9">
        <v>46269</v>
      </c>
      <c r="C11" s="9">
        <v>46447</v>
      </c>
      <c r="D11" s="6" t="s">
        <v>66</v>
      </c>
      <c r="E11" s="4">
        <v>1875</v>
      </c>
      <c r="F11" s="4"/>
      <c r="G11" s="4"/>
      <c r="H11" s="16"/>
      <c r="K11" s="4"/>
    </row>
    <row r="12" spans="1:11" x14ac:dyDescent="0.2">
      <c r="A12" s="6"/>
      <c r="B12" s="9">
        <v>46247</v>
      </c>
      <c r="C12" s="9">
        <v>46446</v>
      </c>
      <c r="D12" s="6" t="s">
        <v>9</v>
      </c>
      <c r="E12" s="4">
        <v>4000</v>
      </c>
      <c r="F12" s="4"/>
      <c r="G12" s="4"/>
      <c r="H12" s="16"/>
      <c r="K12" s="4"/>
    </row>
    <row r="13" spans="1:11" x14ac:dyDescent="0.2">
      <c r="A13" s="6"/>
      <c r="B13" s="9">
        <v>46267</v>
      </c>
      <c r="C13" s="9">
        <v>46446</v>
      </c>
      <c r="D13" s="6" t="s">
        <v>61</v>
      </c>
      <c r="E13" s="4">
        <v>1500</v>
      </c>
      <c r="F13" s="4"/>
      <c r="G13" s="4"/>
      <c r="H13" s="16"/>
      <c r="K13" s="4"/>
    </row>
    <row r="14" spans="1:11" x14ac:dyDescent="0.2">
      <c r="A14" s="6"/>
      <c r="B14" s="9">
        <v>46218</v>
      </c>
      <c r="C14" s="9">
        <v>46397</v>
      </c>
      <c r="D14" s="6" t="s">
        <v>23</v>
      </c>
      <c r="E14" s="4">
        <v>10000</v>
      </c>
      <c r="F14" s="4"/>
      <c r="G14" s="4"/>
      <c r="H14" s="16"/>
      <c r="K14" s="4"/>
    </row>
    <row r="15" spans="1:11" x14ac:dyDescent="0.2">
      <c r="A15" s="6"/>
      <c r="B15" s="9">
        <v>46232</v>
      </c>
      <c r="C15" s="9">
        <v>46373</v>
      </c>
      <c r="D15" s="6" t="s">
        <v>30</v>
      </c>
      <c r="E15" s="4">
        <v>3000</v>
      </c>
      <c r="F15" s="4"/>
      <c r="G15" s="4"/>
      <c r="H15" s="16"/>
      <c r="K15" s="4"/>
    </row>
    <row r="16" spans="1:11" x14ac:dyDescent="0.2">
      <c r="A16" s="6"/>
      <c r="B16" s="9">
        <v>46295</v>
      </c>
      <c r="C16" s="9">
        <v>46373</v>
      </c>
      <c r="D16" s="6" t="s">
        <v>86</v>
      </c>
      <c r="E16" s="4">
        <v>6000</v>
      </c>
      <c r="F16" s="4"/>
      <c r="G16" s="4"/>
      <c r="H16" s="16"/>
      <c r="K16" s="4"/>
    </row>
    <row r="17" spans="1:11" x14ac:dyDescent="0.2">
      <c r="A17" s="6"/>
      <c r="B17" s="9">
        <v>46240</v>
      </c>
      <c r="C17" s="9">
        <v>46372</v>
      </c>
      <c r="D17" s="6" t="s">
        <v>38</v>
      </c>
      <c r="E17" s="4">
        <v>5000</v>
      </c>
      <c r="F17" s="4"/>
      <c r="G17" s="4"/>
      <c r="H17" s="16"/>
      <c r="K17" s="4"/>
    </row>
    <row r="18" spans="1:11" x14ac:dyDescent="0.2">
      <c r="A18" s="6"/>
      <c r="B18" s="9">
        <v>46206</v>
      </c>
      <c r="C18" s="9">
        <v>46367</v>
      </c>
      <c r="D18" s="6" t="s">
        <v>19</v>
      </c>
      <c r="E18" s="4">
        <v>6750</v>
      </c>
      <c r="F18" s="4"/>
      <c r="G18" s="4"/>
      <c r="H18" s="16"/>
      <c r="K18" s="4"/>
    </row>
    <row r="19" spans="1:11" x14ac:dyDescent="0.2">
      <c r="A19" s="6"/>
      <c r="B19" s="9">
        <v>46289</v>
      </c>
      <c r="C19" s="9">
        <v>46366</v>
      </c>
      <c r="D19" s="6" t="s">
        <v>82</v>
      </c>
      <c r="E19" s="4">
        <v>5000</v>
      </c>
      <c r="F19" s="4"/>
      <c r="G19" s="4"/>
      <c r="H19" s="16"/>
      <c r="K19" s="4"/>
    </row>
    <row r="20" spans="1:11" x14ac:dyDescent="0.2">
      <c r="A20" s="6"/>
      <c r="B20" s="9">
        <v>46295</v>
      </c>
      <c r="C20" s="9">
        <v>46362</v>
      </c>
      <c r="D20" s="6" t="s">
        <v>87</v>
      </c>
      <c r="E20" s="4">
        <v>1875</v>
      </c>
      <c r="F20" s="4"/>
      <c r="G20" s="4"/>
      <c r="H20" s="16"/>
      <c r="K20" s="4"/>
    </row>
    <row r="21" spans="1:11" x14ac:dyDescent="0.2">
      <c r="A21" s="6"/>
      <c r="B21" s="9">
        <v>46289</v>
      </c>
      <c r="C21" s="9">
        <v>46359</v>
      </c>
      <c r="D21" s="6" t="s">
        <v>83</v>
      </c>
      <c r="E21" s="4">
        <v>6000</v>
      </c>
      <c r="F21" s="4"/>
      <c r="G21" s="4"/>
      <c r="H21" s="16"/>
      <c r="K21" s="4"/>
    </row>
    <row r="22" spans="1:11" x14ac:dyDescent="0.2">
      <c r="A22" s="6"/>
      <c r="B22" s="9">
        <v>46295</v>
      </c>
      <c r="C22" s="9">
        <v>46355</v>
      </c>
      <c r="D22" s="6" t="s">
        <v>88</v>
      </c>
      <c r="E22" s="4">
        <v>1960</v>
      </c>
      <c r="F22" s="4"/>
      <c r="G22" s="4"/>
      <c r="H22" s="16"/>
      <c r="K22" s="4"/>
    </row>
    <row r="23" spans="1:11" x14ac:dyDescent="0.2">
      <c r="A23" s="6"/>
      <c r="B23" s="9">
        <v>46200</v>
      </c>
      <c r="C23" s="9">
        <v>46345</v>
      </c>
      <c r="D23" s="6" t="s">
        <v>18</v>
      </c>
      <c r="E23" s="4">
        <v>7000</v>
      </c>
      <c r="F23" s="4"/>
      <c r="G23" s="4"/>
      <c r="H23" s="16"/>
      <c r="K23" s="4"/>
    </row>
    <row r="24" spans="1:11" x14ac:dyDescent="0.2">
      <c r="A24" s="6"/>
      <c r="B24" s="9">
        <v>46295</v>
      </c>
      <c r="C24" s="9">
        <v>46344</v>
      </c>
      <c r="D24" s="6" t="s">
        <v>89</v>
      </c>
      <c r="E24" s="4">
        <v>3000</v>
      </c>
      <c r="F24" s="4"/>
      <c r="G24" s="4"/>
      <c r="H24" s="16"/>
      <c r="K24" s="4"/>
    </row>
    <row r="25" spans="1:11" x14ac:dyDescent="0.2">
      <c r="A25" s="6"/>
      <c r="B25" s="9">
        <v>46295</v>
      </c>
      <c r="C25" s="9">
        <v>46343</v>
      </c>
      <c r="D25" s="6" t="s">
        <v>90</v>
      </c>
      <c r="E25" s="4">
        <v>1750</v>
      </c>
      <c r="F25" s="4"/>
      <c r="G25" s="4"/>
      <c r="H25" s="16"/>
      <c r="K25" s="10"/>
    </row>
    <row r="26" spans="1:11" x14ac:dyDescent="0.2">
      <c r="A26" s="6"/>
      <c r="B26" s="9">
        <v>46289</v>
      </c>
      <c r="C26" s="9">
        <v>46330</v>
      </c>
      <c r="D26" s="6" t="s">
        <v>84</v>
      </c>
      <c r="E26" s="4">
        <v>2000</v>
      </c>
      <c r="F26" s="4"/>
      <c r="G26" s="4"/>
      <c r="H26" s="16"/>
      <c r="K26" s="10"/>
    </row>
    <row r="27" spans="1:11" x14ac:dyDescent="0.2">
      <c r="A27" s="6"/>
      <c r="B27" s="9">
        <v>46295</v>
      </c>
      <c r="C27" s="9">
        <v>46330</v>
      </c>
      <c r="D27" s="6" t="s">
        <v>91</v>
      </c>
      <c r="E27" s="4">
        <v>600</v>
      </c>
      <c r="F27" s="4"/>
      <c r="G27" s="4"/>
      <c r="H27" s="16"/>
      <c r="K27" s="10"/>
    </row>
    <row r="28" spans="1:11" x14ac:dyDescent="0.2">
      <c r="A28" s="6"/>
      <c r="B28" s="9">
        <v>46231</v>
      </c>
      <c r="C28" s="9">
        <v>46327</v>
      </c>
      <c r="D28" s="6" t="s">
        <v>29</v>
      </c>
      <c r="E28" s="4">
        <v>1750</v>
      </c>
      <c r="F28" s="4"/>
      <c r="G28" s="4"/>
      <c r="H28" s="16"/>
      <c r="K28" s="10"/>
    </row>
    <row r="29" spans="1:11" x14ac:dyDescent="0.2">
      <c r="A29" s="6"/>
      <c r="B29" s="9">
        <v>46162</v>
      </c>
      <c r="C29" s="9">
        <v>46326</v>
      </c>
      <c r="D29" s="6" t="s">
        <v>13</v>
      </c>
      <c r="E29" s="4">
        <v>6000</v>
      </c>
      <c r="F29" s="4"/>
      <c r="G29" s="4"/>
      <c r="H29" s="16"/>
      <c r="K29" s="10"/>
    </row>
    <row r="30" spans="1:11" x14ac:dyDescent="0.2">
      <c r="A30" s="6"/>
      <c r="B30" s="9">
        <v>46289</v>
      </c>
      <c r="C30" s="9">
        <v>46325</v>
      </c>
      <c r="D30" s="6" t="s">
        <v>7</v>
      </c>
      <c r="E30" s="4">
        <v>1660.97</v>
      </c>
      <c r="F30" s="4"/>
      <c r="G30" s="4"/>
      <c r="H30" s="16"/>
      <c r="K30" s="10"/>
    </row>
    <row r="31" spans="1:11" x14ac:dyDescent="0.2">
      <c r="A31" s="6"/>
      <c r="B31" s="9">
        <v>46295</v>
      </c>
      <c r="C31" s="9">
        <v>46323</v>
      </c>
      <c r="D31" s="6" t="s">
        <v>92</v>
      </c>
      <c r="E31" s="4">
        <v>1875</v>
      </c>
      <c r="F31" s="4"/>
      <c r="G31" s="4"/>
      <c r="H31" s="16"/>
      <c r="K31" s="10"/>
    </row>
    <row r="32" spans="1:11" x14ac:dyDescent="0.2">
      <c r="A32" s="6"/>
      <c r="B32" s="9">
        <v>46232</v>
      </c>
      <c r="C32" s="9">
        <v>46318</v>
      </c>
      <c r="D32" s="6" t="s">
        <v>31</v>
      </c>
      <c r="E32" s="4">
        <v>5000</v>
      </c>
      <c r="F32" s="4"/>
      <c r="G32" s="4"/>
      <c r="H32" s="9"/>
      <c r="I32" s="6"/>
      <c r="K32" s="5"/>
    </row>
    <row r="33" spans="1:11" x14ac:dyDescent="0.2">
      <c r="A33" s="6"/>
      <c r="B33" s="9">
        <v>46264</v>
      </c>
      <c r="C33" s="9">
        <v>46318</v>
      </c>
      <c r="D33" s="6" t="s">
        <v>7</v>
      </c>
      <c r="E33" s="4">
        <v>996.58</v>
      </c>
      <c r="F33" s="4"/>
      <c r="G33" s="4"/>
      <c r="H33" s="9"/>
      <c r="I33" s="6"/>
      <c r="K33" s="5"/>
    </row>
    <row r="34" spans="1:11" x14ac:dyDescent="0.2">
      <c r="A34" s="6"/>
      <c r="B34" s="9">
        <v>46274</v>
      </c>
      <c r="C34" s="9">
        <v>46318</v>
      </c>
      <c r="D34" s="6" t="s">
        <v>7</v>
      </c>
      <c r="E34" s="4">
        <v>430.85</v>
      </c>
      <c r="F34" s="4"/>
      <c r="G34" s="4"/>
      <c r="H34" s="9"/>
      <c r="I34" s="6"/>
      <c r="K34" s="5"/>
    </row>
    <row r="35" spans="1:11" x14ac:dyDescent="0.2">
      <c r="A35" s="6"/>
      <c r="B35" s="9">
        <v>46295</v>
      </c>
      <c r="C35" s="9">
        <v>46312</v>
      </c>
      <c r="D35" s="6" t="s">
        <v>7</v>
      </c>
      <c r="E35" s="4">
        <v>547.62</v>
      </c>
      <c r="G35" s="4"/>
      <c r="H35" s="9"/>
      <c r="I35" s="6"/>
      <c r="K35" s="5"/>
    </row>
    <row r="36" spans="1:11" x14ac:dyDescent="0.2">
      <c r="A36" s="6"/>
      <c r="B36" s="9">
        <v>46293</v>
      </c>
      <c r="C36" s="9">
        <v>46311</v>
      </c>
      <c r="D36" s="6" t="s">
        <v>7</v>
      </c>
      <c r="E36" s="4">
        <v>430.85</v>
      </c>
      <c r="G36" s="4"/>
      <c r="H36" s="9"/>
      <c r="I36" s="6"/>
      <c r="K36" s="5"/>
    </row>
    <row r="37" spans="1:11" x14ac:dyDescent="0.2">
      <c r="A37" s="6"/>
      <c r="B37" s="9">
        <v>46270</v>
      </c>
      <c r="C37" s="9">
        <v>46309</v>
      </c>
      <c r="D37" s="6" t="s">
        <v>69</v>
      </c>
      <c r="E37" s="4">
        <v>825</v>
      </c>
      <c r="G37" s="4"/>
      <c r="H37" s="9"/>
      <c r="I37" s="6"/>
      <c r="K37" s="5"/>
    </row>
    <row r="38" spans="1:11" x14ac:dyDescent="0.2">
      <c r="A38" s="6"/>
      <c r="B38" s="9">
        <v>46281</v>
      </c>
      <c r="C38" s="9">
        <v>46309</v>
      </c>
      <c r="D38" s="6" t="s">
        <v>77</v>
      </c>
      <c r="E38" s="4">
        <v>1875</v>
      </c>
      <c r="G38" s="4"/>
      <c r="H38" s="9"/>
      <c r="I38" s="6"/>
      <c r="K38" s="5"/>
    </row>
    <row r="39" spans="1:11" x14ac:dyDescent="0.2">
      <c r="A39" s="6"/>
      <c r="B39" s="9">
        <v>46193</v>
      </c>
      <c r="C39" s="9">
        <v>46308</v>
      </c>
      <c r="D39" s="6" t="s">
        <v>15</v>
      </c>
      <c r="E39" s="4">
        <v>1750</v>
      </c>
      <c r="G39" s="4"/>
      <c r="H39" s="9"/>
      <c r="I39" s="6"/>
      <c r="K39" s="5"/>
    </row>
    <row r="40" spans="1:11" x14ac:dyDescent="0.2">
      <c r="A40" s="6"/>
      <c r="B40" s="9">
        <v>46267</v>
      </c>
      <c r="C40" s="9">
        <v>46308</v>
      </c>
      <c r="D40" s="6" t="s">
        <v>62</v>
      </c>
      <c r="E40" s="4">
        <v>12500</v>
      </c>
      <c r="G40" s="4"/>
      <c r="H40" s="9"/>
      <c r="I40" s="6"/>
      <c r="K40" s="5"/>
    </row>
    <row r="41" spans="1:11" x14ac:dyDescent="0.2">
      <c r="A41" s="6"/>
      <c r="B41" s="9">
        <v>46289</v>
      </c>
      <c r="C41" s="9">
        <v>46308</v>
      </c>
      <c r="D41" s="6" t="s">
        <v>85</v>
      </c>
      <c r="E41" s="10">
        <v>1750</v>
      </c>
      <c r="F41" s="4"/>
      <c r="G41" s="4"/>
      <c r="H41" s="9"/>
      <c r="I41" s="6"/>
      <c r="K41" s="5"/>
    </row>
    <row r="42" spans="1:11" x14ac:dyDescent="0.2">
      <c r="A42" s="6"/>
      <c r="B42" s="9">
        <v>46197</v>
      </c>
      <c r="C42" s="9">
        <v>46307</v>
      </c>
      <c r="D42" s="6" t="s">
        <v>16</v>
      </c>
      <c r="E42" s="10">
        <v>4000</v>
      </c>
      <c r="F42" s="4"/>
      <c r="G42" s="4"/>
      <c r="H42" s="9"/>
      <c r="K42" s="5"/>
    </row>
    <row r="43" spans="1:11" x14ac:dyDescent="0.2">
      <c r="A43" s="6"/>
      <c r="B43" s="9">
        <v>46288</v>
      </c>
      <c r="C43" s="9">
        <v>46303</v>
      </c>
      <c r="D43" s="2" t="s">
        <v>7</v>
      </c>
      <c r="E43" s="4">
        <v>996.58</v>
      </c>
      <c r="F43" s="4"/>
      <c r="G43" s="4"/>
      <c r="H43" s="16"/>
      <c r="K43" s="4"/>
    </row>
    <row r="44" spans="1:11" x14ac:dyDescent="0.2">
      <c r="A44" s="6"/>
      <c r="B44" s="9">
        <v>46281</v>
      </c>
      <c r="C44" s="9">
        <v>46302</v>
      </c>
      <c r="D44" s="2" t="s">
        <v>78</v>
      </c>
      <c r="E44" s="4">
        <v>600</v>
      </c>
      <c r="F44" s="4"/>
      <c r="G44" s="4"/>
      <c r="H44" s="16"/>
      <c r="K44" s="4"/>
    </row>
    <row r="45" spans="1:11" x14ac:dyDescent="0.2">
      <c r="A45" s="6"/>
      <c r="B45" s="9">
        <v>46213</v>
      </c>
      <c r="C45" s="9">
        <v>46301</v>
      </c>
      <c r="D45" s="2" t="s">
        <v>21</v>
      </c>
      <c r="E45" s="10">
        <v>1750</v>
      </c>
      <c r="F45" s="4"/>
      <c r="G45" s="4"/>
      <c r="H45" s="9"/>
      <c r="K45" s="4"/>
    </row>
    <row r="46" spans="1:11" x14ac:dyDescent="0.2">
      <c r="A46" s="6"/>
      <c r="B46" s="9">
        <v>46267</v>
      </c>
      <c r="C46" s="9">
        <v>46301</v>
      </c>
      <c r="D46" s="2" t="s">
        <v>63</v>
      </c>
      <c r="E46" s="4">
        <v>500</v>
      </c>
      <c r="G46" s="4"/>
      <c r="H46" s="9"/>
      <c r="K46" s="4"/>
    </row>
    <row r="47" spans="1:11" x14ac:dyDescent="0.2">
      <c r="A47" s="6"/>
      <c r="B47" s="9">
        <v>46280</v>
      </c>
      <c r="C47" s="9">
        <v>46299</v>
      </c>
      <c r="D47" s="2" t="s">
        <v>74</v>
      </c>
      <c r="E47" s="4">
        <v>1500</v>
      </c>
      <c r="G47" s="4"/>
      <c r="H47" s="9"/>
      <c r="K47" s="4"/>
    </row>
    <row r="48" spans="1:11" x14ac:dyDescent="0.2">
      <c r="A48" s="6"/>
      <c r="B48" s="9">
        <v>46268</v>
      </c>
      <c r="C48" s="9">
        <v>46296</v>
      </c>
      <c r="D48" s="2" t="s">
        <v>65</v>
      </c>
      <c r="E48" s="4">
        <v>2000</v>
      </c>
      <c r="G48" s="4"/>
      <c r="H48" s="9"/>
      <c r="K48" s="4"/>
    </row>
    <row r="49" spans="1:15" s="6" customFormat="1" x14ac:dyDescent="0.2">
      <c r="B49" s="9"/>
      <c r="C49" s="9"/>
      <c r="E49" s="17"/>
      <c r="G49" s="8"/>
      <c r="H49" s="9"/>
      <c r="J49" s="17"/>
      <c r="K49" s="17"/>
    </row>
    <row r="50" spans="1:15" s="6" customFormat="1" x14ac:dyDescent="0.2">
      <c r="B50" s="9"/>
      <c r="C50" s="9"/>
      <c r="E50" s="17"/>
      <c r="G50" s="8"/>
      <c r="H50" s="9"/>
      <c r="J50" s="17"/>
      <c r="K50" s="17"/>
    </row>
    <row r="51" spans="1:15" s="6" customFormat="1" x14ac:dyDescent="0.2">
      <c r="B51" s="9"/>
      <c r="C51" s="9"/>
      <c r="E51" s="17"/>
      <c r="G51" s="8"/>
      <c r="H51" s="9"/>
      <c r="J51" s="17"/>
      <c r="K51" s="17"/>
    </row>
    <row r="52" spans="1:15" s="6" customFormat="1" x14ac:dyDescent="0.2">
      <c r="B52" s="9"/>
      <c r="C52" s="9"/>
      <c r="E52" s="17"/>
      <c r="G52" s="8"/>
      <c r="H52" s="9"/>
      <c r="J52" s="17"/>
      <c r="K52" s="17"/>
    </row>
    <row r="53" spans="1:15" s="6" customFormat="1" x14ac:dyDescent="0.2">
      <c r="B53" s="9"/>
      <c r="C53" s="9"/>
      <c r="E53" s="17"/>
      <c r="G53" s="8"/>
      <c r="H53" s="9"/>
      <c r="J53" s="17"/>
      <c r="K53" s="17"/>
    </row>
    <row r="54" spans="1:15" s="6" customFormat="1" x14ac:dyDescent="0.2">
      <c r="B54" s="9"/>
      <c r="C54" s="9"/>
      <c r="E54" s="17"/>
      <c r="G54" s="8"/>
      <c r="H54" s="9"/>
      <c r="J54" s="17"/>
      <c r="K54" s="17"/>
    </row>
    <row r="55" spans="1:15" x14ac:dyDescent="0.2">
      <c r="B55" s="9"/>
      <c r="C55" s="9"/>
      <c r="E55" s="10"/>
      <c r="H55" s="16"/>
      <c r="K55" s="10"/>
    </row>
    <row r="56" spans="1:15" ht="13.5" thickBot="1" x14ac:dyDescent="0.25">
      <c r="A56" s="6"/>
      <c r="B56" s="9"/>
      <c r="C56" s="9"/>
      <c r="E56" s="14">
        <f>SUM(E7:E55)</f>
        <v>126048.45000000001</v>
      </c>
      <c r="F56" s="6"/>
      <c r="G56" s="6"/>
      <c r="H56" s="9"/>
      <c r="J56" s="14">
        <f>SUM(J8:J55)</f>
        <v>546.35</v>
      </c>
    </row>
    <row r="57" spans="1:15" ht="13.5" thickTop="1" x14ac:dyDescent="0.2">
      <c r="B57" s="9"/>
      <c r="C57" s="9"/>
      <c r="H57" s="9"/>
    </row>
    <row r="58" spans="1:15" x14ac:dyDescent="0.2">
      <c r="B58" s="9"/>
      <c r="C58" s="9"/>
      <c r="F58" s="10"/>
      <c r="G58" s="10"/>
      <c r="H58" s="9"/>
      <c r="L58" s="10"/>
      <c r="N58" s="10"/>
      <c r="O58" s="10"/>
    </row>
    <row r="59" spans="1:15" x14ac:dyDescent="0.2">
      <c r="B59" s="9"/>
      <c r="C59" s="9"/>
      <c r="H59" s="9"/>
    </row>
    <row r="60" spans="1:15" x14ac:dyDescent="0.2">
      <c r="B60" s="9"/>
      <c r="C60" s="9"/>
      <c r="E60" s="2"/>
      <c r="H60" s="9"/>
      <c r="J60" s="11"/>
    </row>
    <row r="61" spans="1:15" ht="15" x14ac:dyDescent="0.25">
      <c r="F61"/>
      <c r="G61"/>
      <c r="H61" s="9"/>
      <c r="J61" s="4"/>
    </row>
    <row r="62" spans="1:15" ht="15" x14ac:dyDescent="0.25">
      <c r="F62"/>
      <c r="G62"/>
      <c r="H62"/>
      <c r="I62"/>
      <c r="J62" s="12"/>
    </row>
    <row r="63" spans="1:15" ht="15" x14ac:dyDescent="0.25">
      <c r="F63"/>
      <c r="G63"/>
      <c r="H63"/>
      <c r="I63"/>
      <c r="J63"/>
    </row>
    <row r="64" spans="1:15" ht="15" x14ac:dyDescent="0.25">
      <c r="F64"/>
      <c r="G64"/>
      <c r="H64"/>
      <c r="I64"/>
      <c r="J64"/>
    </row>
    <row r="65" spans="1:15" s="4" customFormat="1" x14ac:dyDescent="0.2">
      <c r="A65" s="2"/>
      <c r="B65" s="2"/>
      <c r="C65" s="2"/>
      <c r="D65" s="2"/>
      <c r="F65" s="2"/>
      <c r="G65" s="2"/>
      <c r="H65" s="2"/>
      <c r="I65" s="2"/>
      <c r="J65" s="5"/>
      <c r="K65" s="2"/>
      <c r="L65" s="2"/>
      <c r="M65" s="2"/>
      <c r="N65" s="2"/>
      <c r="O65" s="2"/>
    </row>
    <row r="66" spans="1:15" x14ac:dyDescent="0.2">
      <c r="E66" s="10"/>
    </row>
    <row r="67" spans="1:15" x14ac:dyDescent="0.2">
      <c r="E67" s="2"/>
    </row>
    <row r="68" spans="1:15" x14ac:dyDescent="0.2">
      <c r="E68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7D835-D5E4-4284-B053-8F1A6E3A3160}">
  <sheetPr>
    <pageSetUpPr fitToPage="1"/>
  </sheetPr>
  <dimension ref="A1:O68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B3" sqref="B3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59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H8" s="16">
        <v>46292</v>
      </c>
      <c r="I8" s="2" t="s">
        <v>73</v>
      </c>
      <c r="J8" s="5">
        <v>1350.86</v>
      </c>
      <c r="K8" s="4"/>
    </row>
    <row r="9" spans="1:11" x14ac:dyDescent="0.2">
      <c r="A9" s="6"/>
      <c r="B9" s="9">
        <v>46262</v>
      </c>
      <c r="C9" s="9">
        <v>46513</v>
      </c>
      <c r="D9" s="6" t="s">
        <v>50</v>
      </c>
      <c r="E9" s="4">
        <v>2250</v>
      </c>
      <c r="F9" s="4"/>
      <c r="G9" s="4"/>
      <c r="H9" s="16">
        <v>46292</v>
      </c>
      <c r="I9" s="2" t="s">
        <v>71</v>
      </c>
      <c r="J9" s="5">
        <v>1968.45</v>
      </c>
      <c r="K9" s="4"/>
    </row>
    <row r="10" spans="1:11" x14ac:dyDescent="0.2">
      <c r="A10" s="6"/>
      <c r="B10" s="9">
        <v>46240</v>
      </c>
      <c r="C10" s="9">
        <v>46483</v>
      </c>
      <c r="D10" s="6" t="s">
        <v>37</v>
      </c>
      <c r="E10" s="4">
        <v>1750</v>
      </c>
      <c r="F10" s="4"/>
      <c r="G10" s="4"/>
      <c r="H10" s="16">
        <v>46292</v>
      </c>
      <c r="I10" s="2" t="s">
        <v>80</v>
      </c>
      <c r="J10" s="5">
        <v>546.35</v>
      </c>
      <c r="K10" s="4"/>
    </row>
    <row r="11" spans="1:11" x14ac:dyDescent="0.2">
      <c r="A11" s="6"/>
      <c r="B11" s="9">
        <v>46269</v>
      </c>
      <c r="C11" s="9">
        <v>46447</v>
      </c>
      <c r="D11" s="6" t="s">
        <v>66</v>
      </c>
      <c r="E11" s="4">
        <v>1875</v>
      </c>
      <c r="F11" s="4"/>
      <c r="G11" s="4"/>
      <c r="H11" s="16">
        <v>46291</v>
      </c>
      <c r="I11" s="2" t="s">
        <v>75</v>
      </c>
      <c r="J11" s="5">
        <v>964.05</v>
      </c>
      <c r="K11" s="4"/>
    </row>
    <row r="12" spans="1:11" x14ac:dyDescent="0.2">
      <c r="A12" s="6"/>
      <c r="B12" s="9">
        <v>46247</v>
      </c>
      <c r="C12" s="9">
        <v>46446</v>
      </c>
      <c r="D12" s="6" t="s">
        <v>9</v>
      </c>
      <c r="E12" s="4">
        <v>4000</v>
      </c>
      <c r="F12" s="4"/>
      <c r="G12" s="4"/>
      <c r="H12" s="16">
        <v>46288</v>
      </c>
      <c r="I12" s="2" t="s">
        <v>12</v>
      </c>
      <c r="J12" s="5">
        <v>1021.77</v>
      </c>
      <c r="K12" s="4"/>
    </row>
    <row r="13" spans="1:11" x14ac:dyDescent="0.2">
      <c r="A13" s="6"/>
      <c r="B13" s="9">
        <v>46267</v>
      </c>
      <c r="C13" s="9">
        <v>46446</v>
      </c>
      <c r="D13" s="6" t="s">
        <v>61</v>
      </c>
      <c r="E13" s="4">
        <v>1500</v>
      </c>
      <c r="F13" s="4"/>
      <c r="G13" s="4"/>
      <c r="H13" s="16">
        <v>46288</v>
      </c>
      <c r="I13" s="2" t="s">
        <v>81</v>
      </c>
      <c r="J13" s="5">
        <v>590.88</v>
      </c>
      <c r="K13" s="4"/>
    </row>
    <row r="14" spans="1:11" x14ac:dyDescent="0.2">
      <c r="A14" s="6"/>
      <c r="B14" s="9">
        <v>46218</v>
      </c>
      <c r="C14" s="9">
        <v>46397</v>
      </c>
      <c r="D14" s="6" t="s">
        <v>23</v>
      </c>
      <c r="E14" s="4">
        <v>10000</v>
      </c>
      <c r="F14" s="4"/>
      <c r="G14" s="4"/>
      <c r="H14" s="16"/>
      <c r="K14" s="4"/>
    </row>
    <row r="15" spans="1:11" x14ac:dyDescent="0.2">
      <c r="A15" s="6"/>
      <c r="B15" s="9">
        <v>46232</v>
      </c>
      <c r="C15" s="9">
        <v>46373</v>
      </c>
      <c r="D15" s="6" t="s">
        <v>30</v>
      </c>
      <c r="E15" s="4">
        <v>3000</v>
      </c>
      <c r="F15" s="4"/>
      <c r="G15" s="4"/>
      <c r="H15" s="16"/>
      <c r="K15" s="4"/>
    </row>
    <row r="16" spans="1:11" x14ac:dyDescent="0.2">
      <c r="A16" s="6"/>
      <c r="B16" s="9">
        <v>46240</v>
      </c>
      <c r="C16" s="9">
        <v>46372</v>
      </c>
      <c r="D16" s="6" t="s">
        <v>38</v>
      </c>
      <c r="E16" s="4">
        <v>5000</v>
      </c>
      <c r="F16" s="4"/>
      <c r="G16" s="4"/>
      <c r="H16" s="16"/>
      <c r="K16" s="4"/>
    </row>
    <row r="17" spans="1:11" x14ac:dyDescent="0.2">
      <c r="A17" s="6"/>
      <c r="B17" s="9">
        <v>46206</v>
      </c>
      <c r="C17" s="9">
        <v>46367</v>
      </c>
      <c r="D17" s="6" t="s">
        <v>19</v>
      </c>
      <c r="E17" s="4">
        <v>6750</v>
      </c>
      <c r="F17" s="4"/>
      <c r="G17" s="4"/>
      <c r="H17" s="16"/>
      <c r="K17" s="4"/>
    </row>
    <row r="18" spans="1:11" x14ac:dyDescent="0.2">
      <c r="A18" s="6"/>
      <c r="B18" s="9">
        <v>46289</v>
      </c>
      <c r="C18" s="9">
        <v>46366</v>
      </c>
      <c r="D18" s="6" t="s">
        <v>82</v>
      </c>
      <c r="E18" s="4">
        <v>5000</v>
      </c>
      <c r="F18" s="4"/>
      <c r="G18" s="4"/>
      <c r="H18" s="16"/>
      <c r="K18" s="4"/>
    </row>
    <row r="19" spans="1:11" x14ac:dyDescent="0.2">
      <c r="A19" s="6"/>
      <c r="B19" s="9">
        <v>46289</v>
      </c>
      <c r="C19" s="9">
        <v>46359</v>
      </c>
      <c r="D19" s="6" t="s">
        <v>83</v>
      </c>
      <c r="E19" s="4">
        <v>6000</v>
      </c>
      <c r="F19" s="4"/>
      <c r="G19" s="4"/>
      <c r="H19" s="16"/>
      <c r="K19" s="4"/>
    </row>
    <row r="20" spans="1:11" x14ac:dyDescent="0.2">
      <c r="A20" s="6"/>
      <c r="B20" s="9">
        <v>46200</v>
      </c>
      <c r="C20" s="9">
        <v>46345</v>
      </c>
      <c r="D20" s="6" t="s">
        <v>18</v>
      </c>
      <c r="E20" s="4">
        <v>7000</v>
      </c>
      <c r="F20" s="4"/>
      <c r="G20" s="4"/>
      <c r="H20" s="16"/>
      <c r="K20" s="4"/>
    </row>
    <row r="21" spans="1:11" x14ac:dyDescent="0.2">
      <c r="A21" s="6"/>
      <c r="B21" s="9">
        <v>46289</v>
      </c>
      <c r="C21" s="9">
        <v>46330</v>
      </c>
      <c r="D21" s="6" t="s">
        <v>84</v>
      </c>
      <c r="E21" s="4">
        <v>2000</v>
      </c>
      <c r="F21" s="4"/>
      <c r="G21" s="4"/>
      <c r="H21" s="16"/>
      <c r="K21" s="4"/>
    </row>
    <row r="22" spans="1:11" x14ac:dyDescent="0.2">
      <c r="A22" s="6"/>
      <c r="B22" s="9">
        <v>46231</v>
      </c>
      <c r="C22" s="9">
        <v>46327</v>
      </c>
      <c r="D22" s="6" t="s">
        <v>29</v>
      </c>
      <c r="E22" s="4">
        <v>1750</v>
      </c>
      <c r="F22" s="4"/>
      <c r="G22" s="4"/>
      <c r="H22" s="16"/>
      <c r="K22" s="4"/>
    </row>
    <row r="23" spans="1:11" x14ac:dyDescent="0.2">
      <c r="A23" s="6"/>
      <c r="B23" s="9">
        <v>46162</v>
      </c>
      <c r="C23" s="9">
        <v>46326</v>
      </c>
      <c r="D23" s="6" t="s">
        <v>13</v>
      </c>
      <c r="E23" s="4">
        <v>6000</v>
      </c>
      <c r="F23" s="4"/>
      <c r="G23" s="4"/>
      <c r="H23" s="16"/>
      <c r="K23" s="4"/>
    </row>
    <row r="24" spans="1:11" x14ac:dyDescent="0.2">
      <c r="A24" s="6"/>
      <c r="B24" s="9">
        <v>46289</v>
      </c>
      <c r="C24" s="9">
        <v>46325</v>
      </c>
      <c r="D24" s="6" t="s">
        <v>7</v>
      </c>
      <c r="E24" s="4">
        <v>1660.97</v>
      </c>
      <c r="F24" s="4"/>
      <c r="G24" s="4"/>
      <c r="H24" s="16"/>
      <c r="K24" s="4"/>
    </row>
    <row r="25" spans="1:11" x14ac:dyDescent="0.2">
      <c r="A25" s="6"/>
      <c r="B25" s="9">
        <v>46232</v>
      </c>
      <c r="C25" s="9">
        <v>46318</v>
      </c>
      <c r="D25" s="6" t="s">
        <v>31</v>
      </c>
      <c r="E25" s="4">
        <v>5000</v>
      </c>
      <c r="F25" s="4"/>
      <c r="G25" s="4"/>
      <c r="H25" s="16"/>
      <c r="K25" s="10"/>
    </row>
    <row r="26" spans="1:11" x14ac:dyDescent="0.2">
      <c r="A26" s="6"/>
      <c r="B26" s="9">
        <v>46264</v>
      </c>
      <c r="C26" s="9">
        <v>46318</v>
      </c>
      <c r="D26" s="6" t="s">
        <v>7</v>
      </c>
      <c r="E26" s="4">
        <v>996.58</v>
      </c>
      <c r="F26" s="4"/>
      <c r="G26" s="4"/>
      <c r="H26" s="16"/>
      <c r="K26" s="10"/>
    </row>
    <row r="27" spans="1:11" x14ac:dyDescent="0.2">
      <c r="A27" s="6"/>
      <c r="B27" s="9">
        <v>46274</v>
      </c>
      <c r="C27" s="9">
        <v>46318</v>
      </c>
      <c r="D27" s="6" t="s">
        <v>7</v>
      </c>
      <c r="E27" s="4">
        <v>430.85</v>
      </c>
      <c r="F27" s="4"/>
      <c r="G27" s="4"/>
      <c r="H27" s="16"/>
      <c r="K27" s="10"/>
    </row>
    <row r="28" spans="1:11" x14ac:dyDescent="0.2">
      <c r="A28" s="6"/>
      <c r="B28" s="9">
        <v>46270</v>
      </c>
      <c r="C28" s="9">
        <v>46309</v>
      </c>
      <c r="D28" s="6" t="s">
        <v>69</v>
      </c>
      <c r="E28" s="4">
        <v>825</v>
      </c>
      <c r="F28" s="4"/>
      <c r="G28" s="4"/>
      <c r="H28" s="16"/>
      <c r="K28" s="10"/>
    </row>
    <row r="29" spans="1:11" x14ac:dyDescent="0.2">
      <c r="A29" s="6"/>
      <c r="B29" s="9">
        <v>46281</v>
      </c>
      <c r="C29" s="9">
        <v>46309</v>
      </c>
      <c r="D29" s="6" t="s">
        <v>77</v>
      </c>
      <c r="E29" s="4">
        <v>1875</v>
      </c>
      <c r="F29" s="4"/>
      <c r="G29" s="4"/>
      <c r="H29" s="16"/>
      <c r="K29" s="10"/>
    </row>
    <row r="30" spans="1:11" x14ac:dyDescent="0.2">
      <c r="A30" s="6"/>
      <c r="B30" s="9">
        <v>46193</v>
      </c>
      <c r="C30" s="9">
        <v>46308</v>
      </c>
      <c r="D30" s="6" t="s">
        <v>15</v>
      </c>
      <c r="E30" s="4">
        <v>1750</v>
      </c>
      <c r="F30" s="4"/>
      <c r="G30" s="4"/>
      <c r="H30" s="16"/>
      <c r="K30" s="10"/>
    </row>
    <row r="31" spans="1:11" x14ac:dyDescent="0.2">
      <c r="A31" s="6"/>
      <c r="B31" s="9">
        <v>46267</v>
      </c>
      <c r="C31" s="9">
        <v>46308</v>
      </c>
      <c r="D31" s="6" t="s">
        <v>62</v>
      </c>
      <c r="E31" s="4">
        <v>12500</v>
      </c>
      <c r="F31" s="4"/>
      <c r="G31" s="4"/>
      <c r="H31" s="16"/>
      <c r="K31" s="10"/>
    </row>
    <row r="32" spans="1:11" x14ac:dyDescent="0.2">
      <c r="A32" s="6"/>
      <c r="B32" s="9">
        <v>46289</v>
      </c>
      <c r="C32" s="9">
        <v>46308</v>
      </c>
      <c r="D32" s="6" t="s">
        <v>85</v>
      </c>
      <c r="E32" s="4">
        <v>1750</v>
      </c>
      <c r="F32" s="4"/>
      <c r="G32" s="4"/>
      <c r="H32" s="9"/>
      <c r="I32" s="6"/>
      <c r="K32" s="5"/>
    </row>
    <row r="33" spans="1:11" x14ac:dyDescent="0.2">
      <c r="A33" s="6"/>
      <c r="B33" s="9">
        <v>46197</v>
      </c>
      <c r="C33" s="9">
        <v>46307</v>
      </c>
      <c r="D33" s="6" t="s">
        <v>16</v>
      </c>
      <c r="E33" s="4">
        <v>4000</v>
      </c>
      <c r="F33" s="4"/>
      <c r="G33" s="4"/>
      <c r="H33" s="9"/>
      <c r="I33" s="6"/>
      <c r="K33" s="5"/>
    </row>
    <row r="34" spans="1:11" x14ac:dyDescent="0.2">
      <c r="A34" s="6"/>
      <c r="B34" s="9">
        <v>46288</v>
      </c>
      <c r="C34" s="9">
        <v>46303</v>
      </c>
      <c r="D34" s="6" t="s">
        <v>7</v>
      </c>
      <c r="E34" s="4">
        <v>996.58</v>
      </c>
      <c r="F34" s="4"/>
      <c r="G34" s="4"/>
      <c r="H34" s="9"/>
      <c r="I34" s="6"/>
      <c r="K34" s="5"/>
    </row>
    <row r="35" spans="1:11" x14ac:dyDescent="0.2">
      <c r="A35" s="6"/>
      <c r="B35" s="9">
        <v>46281</v>
      </c>
      <c r="C35" s="9">
        <v>46302</v>
      </c>
      <c r="D35" s="6" t="s">
        <v>78</v>
      </c>
      <c r="E35" s="4">
        <v>600</v>
      </c>
      <c r="G35" s="4"/>
      <c r="H35" s="9"/>
      <c r="I35" s="6"/>
      <c r="K35" s="5"/>
    </row>
    <row r="36" spans="1:11" x14ac:dyDescent="0.2">
      <c r="A36" s="6"/>
      <c r="B36" s="9">
        <v>46213</v>
      </c>
      <c r="C36" s="9">
        <v>46301</v>
      </c>
      <c r="D36" s="6" t="s">
        <v>21</v>
      </c>
      <c r="E36" s="4">
        <v>1750</v>
      </c>
      <c r="G36" s="4"/>
      <c r="H36" s="9"/>
      <c r="I36" s="6"/>
      <c r="K36" s="5"/>
    </row>
    <row r="37" spans="1:11" x14ac:dyDescent="0.2">
      <c r="A37" s="6"/>
      <c r="B37" s="9">
        <v>46267</v>
      </c>
      <c r="C37" s="9">
        <v>46301</v>
      </c>
      <c r="D37" s="6" t="s">
        <v>63</v>
      </c>
      <c r="E37" s="4">
        <v>500</v>
      </c>
      <c r="G37" s="4"/>
      <c r="H37" s="9"/>
      <c r="I37" s="6"/>
      <c r="K37" s="5"/>
    </row>
    <row r="38" spans="1:11" x14ac:dyDescent="0.2">
      <c r="A38" s="6"/>
      <c r="B38" s="9">
        <v>46280</v>
      </c>
      <c r="C38" s="9">
        <v>46299</v>
      </c>
      <c r="D38" s="6" t="s">
        <v>74</v>
      </c>
      <c r="E38" s="4">
        <v>1500</v>
      </c>
      <c r="G38" s="4"/>
      <c r="H38" s="9"/>
      <c r="I38" s="6"/>
      <c r="K38" s="5"/>
    </row>
    <row r="39" spans="1:11" x14ac:dyDescent="0.2">
      <c r="A39" s="6"/>
      <c r="B39" s="9">
        <v>46268</v>
      </c>
      <c r="C39" s="9">
        <v>46296</v>
      </c>
      <c r="D39" s="6" t="s">
        <v>65</v>
      </c>
      <c r="E39" s="4">
        <v>2000</v>
      </c>
      <c r="G39" s="4"/>
      <c r="H39" s="9"/>
      <c r="I39" s="6"/>
      <c r="K39" s="5"/>
    </row>
    <row r="40" spans="1:11" x14ac:dyDescent="0.2">
      <c r="A40" s="6"/>
      <c r="B40" s="9">
        <v>46220</v>
      </c>
      <c r="C40" s="9">
        <v>46295</v>
      </c>
      <c r="D40" s="6" t="s">
        <v>7</v>
      </c>
      <c r="E40" s="4">
        <v>664.39</v>
      </c>
      <c r="G40" s="4"/>
      <c r="H40" s="9"/>
      <c r="I40" s="6"/>
      <c r="K40" s="5"/>
    </row>
    <row r="41" spans="1:11" x14ac:dyDescent="0.2">
      <c r="A41" s="6"/>
      <c r="B41" s="9">
        <v>46261</v>
      </c>
      <c r="C41" s="9">
        <v>46293</v>
      </c>
      <c r="D41" s="6" t="s">
        <v>47</v>
      </c>
      <c r="E41" s="10">
        <v>1875</v>
      </c>
      <c r="F41" s="4"/>
      <c r="G41" s="4"/>
      <c r="H41" s="9"/>
      <c r="I41" s="6"/>
      <c r="K41" s="5"/>
    </row>
    <row r="42" spans="1:11" x14ac:dyDescent="0.2">
      <c r="A42" s="6"/>
      <c r="B42" s="9"/>
      <c r="C42" s="9"/>
      <c r="D42" s="6"/>
      <c r="E42" s="10"/>
      <c r="F42" s="4"/>
      <c r="G42" s="4"/>
      <c r="H42" s="9"/>
      <c r="K42" s="5"/>
    </row>
    <row r="43" spans="1:11" x14ac:dyDescent="0.2">
      <c r="A43" s="6"/>
      <c r="B43" s="9"/>
      <c r="C43" s="9"/>
      <c r="F43" s="4"/>
      <c r="G43" s="4"/>
      <c r="H43" s="16"/>
      <c r="K43" s="4"/>
    </row>
    <row r="44" spans="1:11" x14ac:dyDescent="0.2">
      <c r="A44" s="6"/>
      <c r="B44" s="9"/>
      <c r="C44" s="9"/>
      <c r="F44" s="4"/>
      <c r="G44" s="4"/>
      <c r="H44" s="16"/>
      <c r="K44" s="4"/>
    </row>
    <row r="45" spans="1:11" x14ac:dyDescent="0.2">
      <c r="A45" s="6"/>
      <c r="B45" s="9"/>
      <c r="C45" s="9"/>
      <c r="E45" s="10"/>
      <c r="F45" s="4"/>
      <c r="G45" s="4"/>
      <c r="H45" s="9"/>
      <c r="K45" s="4"/>
    </row>
    <row r="46" spans="1:11" x14ac:dyDescent="0.2">
      <c r="A46" s="6"/>
      <c r="B46" s="9"/>
      <c r="C46" s="9"/>
      <c r="G46" s="4"/>
      <c r="H46" s="9"/>
      <c r="K46" s="4"/>
    </row>
    <row r="47" spans="1:11" x14ac:dyDescent="0.2">
      <c r="A47" s="6"/>
      <c r="B47" s="9"/>
      <c r="C47" s="9"/>
      <c r="G47" s="4"/>
      <c r="H47" s="9"/>
      <c r="K47" s="4"/>
    </row>
    <row r="48" spans="1:11" x14ac:dyDescent="0.2">
      <c r="A48" s="6"/>
      <c r="B48" s="9"/>
      <c r="C48" s="9"/>
      <c r="G48" s="4"/>
      <c r="H48" s="9"/>
      <c r="K48" s="4"/>
    </row>
    <row r="49" spans="1:15" s="6" customFormat="1" x14ac:dyDescent="0.2">
      <c r="B49" s="9"/>
      <c r="C49" s="9"/>
      <c r="E49" s="17"/>
      <c r="G49" s="8"/>
      <c r="H49" s="9"/>
      <c r="J49" s="17"/>
      <c r="K49" s="17"/>
    </row>
    <row r="50" spans="1:15" s="6" customFormat="1" x14ac:dyDescent="0.2">
      <c r="B50" s="9"/>
      <c r="C50" s="9"/>
      <c r="E50" s="17"/>
      <c r="G50" s="8"/>
      <c r="H50" s="9"/>
      <c r="J50" s="17"/>
      <c r="K50" s="17"/>
    </row>
    <row r="51" spans="1:15" s="6" customFormat="1" x14ac:dyDescent="0.2">
      <c r="B51" s="9"/>
      <c r="C51" s="9"/>
      <c r="E51" s="17"/>
      <c r="G51" s="8"/>
      <c r="H51" s="9"/>
      <c r="J51" s="17"/>
      <c r="K51" s="17"/>
    </row>
    <row r="52" spans="1:15" s="6" customFormat="1" x14ac:dyDescent="0.2">
      <c r="B52" s="9"/>
      <c r="C52" s="9"/>
      <c r="E52" s="17"/>
      <c r="G52" s="8"/>
      <c r="H52" s="9"/>
      <c r="J52" s="17"/>
      <c r="K52" s="17"/>
    </row>
    <row r="53" spans="1:15" s="6" customFormat="1" x14ac:dyDescent="0.2">
      <c r="B53" s="9"/>
      <c r="C53" s="9"/>
      <c r="E53" s="17"/>
      <c r="G53" s="8"/>
      <c r="H53" s="9"/>
      <c r="J53" s="17"/>
      <c r="K53" s="17"/>
    </row>
    <row r="54" spans="1:15" s="6" customFormat="1" x14ac:dyDescent="0.2">
      <c r="B54" s="9"/>
      <c r="C54" s="9"/>
      <c r="E54" s="17"/>
      <c r="G54" s="8"/>
      <c r="H54" s="9"/>
      <c r="J54" s="17"/>
      <c r="K54" s="17"/>
    </row>
    <row r="55" spans="1:15" x14ac:dyDescent="0.2">
      <c r="B55" s="9"/>
      <c r="C55" s="9"/>
      <c r="E55" s="10"/>
      <c r="H55" s="16"/>
      <c r="K55" s="10"/>
    </row>
    <row r="56" spans="1:15" ht="13.5" thickBot="1" x14ac:dyDescent="0.25">
      <c r="A56" s="6"/>
      <c r="B56" s="9"/>
      <c r="C56" s="9"/>
      <c r="E56" s="14">
        <f>SUM(E7:E55)</f>
        <v>110549.37000000001</v>
      </c>
      <c r="F56" s="6"/>
      <c r="G56" s="6"/>
      <c r="H56" s="9"/>
      <c r="J56" s="14">
        <f>SUM(J8:J55)</f>
        <v>6442.36</v>
      </c>
    </row>
    <row r="57" spans="1:15" ht="13.5" thickTop="1" x14ac:dyDescent="0.2">
      <c r="B57" s="9"/>
      <c r="C57" s="9"/>
      <c r="H57" s="9"/>
    </row>
    <row r="58" spans="1:15" x14ac:dyDescent="0.2">
      <c r="B58" s="9"/>
      <c r="C58" s="9"/>
      <c r="F58" s="10"/>
      <c r="G58" s="10"/>
      <c r="H58" s="9"/>
      <c r="L58" s="10"/>
      <c r="N58" s="10"/>
      <c r="O58" s="10"/>
    </row>
    <row r="59" spans="1:15" x14ac:dyDescent="0.2">
      <c r="B59" s="9"/>
      <c r="C59" s="9"/>
      <c r="H59" s="9"/>
    </row>
    <row r="60" spans="1:15" x14ac:dyDescent="0.2">
      <c r="B60" s="9"/>
      <c r="C60" s="9"/>
      <c r="E60" s="2"/>
      <c r="H60" s="9"/>
      <c r="J60" s="11"/>
    </row>
    <row r="61" spans="1:15" ht="15" x14ac:dyDescent="0.25">
      <c r="F61"/>
      <c r="G61"/>
      <c r="H61" s="9"/>
      <c r="J61" s="4"/>
    </row>
    <row r="62" spans="1:15" ht="15" x14ac:dyDescent="0.25">
      <c r="F62"/>
      <c r="G62"/>
      <c r="H62"/>
      <c r="I62"/>
      <c r="J62" s="12"/>
    </row>
    <row r="63" spans="1:15" ht="15" x14ac:dyDescent="0.25">
      <c r="F63"/>
      <c r="G63"/>
      <c r="H63"/>
      <c r="I63"/>
      <c r="J63"/>
    </row>
    <row r="64" spans="1:15" ht="15" x14ac:dyDescent="0.25">
      <c r="F64"/>
      <c r="G64"/>
      <c r="H64"/>
      <c r="I64"/>
      <c r="J64"/>
    </row>
    <row r="65" spans="1:15" s="4" customFormat="1" x14ac:dyDescent="0.2">
      <c r="A65" s="2"/>
      <c r="B65" s="2"/>
      <c r="C65" s="2"/>
      <c r="D65" s="2"/>
      <c r="F65" s="2"/>
      <c r="G65" s="2"/>
      <c r="H65" s="2"/>
      <c r="I65" s="2"/>
      <c r="J65" s="5"/>
      <c r="K65" s="2"/>
      <c r="L65" s="2"/>
      <c r="M65" s="2"/>
      <c r="N65" s="2"/>
      <c r="O65" s="2"/>
    </row>
    <row r="66" spans="1:15" x14ac:dyDescent="0.2">
      <c r="E66" s="10"/>
    </row>
    <row r="67" spans="1:15" x14ac:dyDescent="0.2">
      <c r="E67" s="2"/>
    </row>
    <row r="68" spans="1:15" x14ac:dyDescent="0.2">
      <c r="E68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1B2A2-E26D-4B4B-8A02-4ABFC788B9F2}">
  <sheetPr>
    <pageSetUpPr fitToPage="1"/>
  </sheetPr>
  <dimension ref="A1:O68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B3" sqref="B3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59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H8" s="16">
        <v>46285</v>
      </c>
      <c r="I8" s="2" t="s">
        <v>79</v>
      </c>
      <c r="J8" s="5">
        <v>971.05</v>
      </c>
      <c r="K8" s="4"/>
    </row>
    <row r="9" spans="1:11" x14ac:dyDescent="0.2">
      <c r="A9" s="6"/>
      <c r="B9" s="9">
        <v>46262</v>
      </c>
      <c r="C9" s="9">
        <v>46513</v>
      </c>
      <c r="D9" s="6" t="s">
        <v>50</v>
      </c>
      <c r="E9" s="4">
        <v>2250</v>
      </c>
      <c r="F9" s="4"/>
      <c r="G9" s="4"/>
      <c r="H9" s="16">
        <v>46285</v>
      </c>
      <c r="I9" s="2" t="s">
        <v>72</v>
      </c>
      <c r="J9" s="5">
        <v>505.43</v>
      </c>
      <c r="K9" s="4"/>
    </row>
    <row r="10" spans="1:11" x14ac:dyDescent="0.2">
      <c r="A10" s="6"/>
      <c r="B10" s="9">
        <v>46240</v>
      </c>
      <c r="C10" s="9">
        <v>46483</v>
      </c>
      <c r="D10" s="6" t="s">
        <v>37</v>
      </c>
      <c r="E10" s="4">
        <v>1750</v>
      </c>
      <c r="F10" s="4"/>
      <c r="G10" s="4"/>
      <c r="H10" s="16">
        <v>46284</v>
      </c>
      <c r="I10" s="2" t="s">
        <v>76</v>
      </c>
      <c r="J10" s="5">
        <v>1338.97</v>
      </c>
      <c r="K10" s="4"/>
    </row>
    <row r="11" spans="1:11" x14ac:dyDescent="0.2">
      <c r="A11" s="6"/>
      <c r="B11" s="9">
        <v>46269</v>
      </c>
      <c r="C11" s="9">
        <v>46447</v>
      </c>
      <c r="D11" s="6" t="s">
        <v>66</v>
      </c>
      <c r="E11" s="4">
        <v>1875</v>
      </c>
      <c r="F11" s="4"/>
      <c r="G11" s="4"/>
      <c r="H11" s="16">
        <v>46281</v>
      </c>
      <c r="I11" s="2" t="s">
        <v>64</v>
      </c>
      <c r="J11" s="5">
        <v>15025</v>
      </c>
      <c r="K11" s="4"/>
    </row>
    <row r="12" spans="1:11" x14ac:dyDescent="0.2">
      <c r="A12" s="6"/>
      <c r="B12" s="9">
        <v>46247</v>
      </c>
      <c r="C12" s="9">
        <v>46446</v>
      </c>
      <c r="D12" s="6" t="s">
        <v>9</v>
      </c>
      <c r="E12" s="4">
        <v>4000</v>
      </c>
      <c r="F12" s="4"/>
      <c r="G12" s="4"/>
      <c r="H12" s="16"/>
      <c r="K12" s="4"/>
    </row>
    <row r="13" spans="1:11" x14ac:dyDescent="0.2">
      <c r="A13" s="6"/>
      <c r="B13" s="9">
        <v>46267</v>
      </c>
      <c r="C13" s="9">
        <v>46446</v>
      </c>
      <c r="D13" s="6" t="s">
        <v>61</v>
      </c>
      <c r="E13" s="4">
        <v>1500</v>
      </c>
      <c r="F13" s="4"/>
      <c r="G13" s="4"/>
      <c r="H13" s="16"/>
      <c r="K13" s="4"/>
    </row>
    <row r="14" spans="1:11" x14ac:dyDescent="0.2">
      <c r="A14" s="6"/>
      <c r="B14" s="9">
        <v>46218</v>
      </c>
      <c r="C14" s="9">
        <v>46397</v>
      </c>
      <c r="D14" s="6" t="s">
        <v>23</v>
      </c>
      <c r="E14" s="4">
        <v>10000</v>
      </c>
      <c r="F14" s="4"/>
      <c r="G14" s="4"/>
      <c r="H14" s="16"/>
      <c r="K14" s="4"/>
    </row>
    <row r="15" spans="1:11" x14ac:dyDescent="0.2">
      <c r="A15" s="6"/>
      <c r="B15" s="9">
        <v>46232</v>
      </c>
      <c r="C15" s="9">
        <v>46373</v>
      </c>
      <c r="D15" s="6" t="s">
        <v>30</v>
      </c>
      <c r="E15" s="4">
        <v>3000</v>
      </c>
      <c r="F15" s="4"/>
      <c r="G15" s="4"/>
      <c r="H15" s="16"/>
      <c r="K15" s="4"/>
    </row>
    <row r="16" spans="1:11" x14ac:dyDescent="0.2">
      <c r="A16" s="6"/>
      <c r="B16" s="9">
        <v>46240</v>
      </c>
      <c r="C16" s="9">
        <v>46372</v>
      </c>
      <c r="D16" s="6" t="s">
        <v>38</v>
      </c>
      <c r="E16" s="4">
        <v>5000</v>
      </c>
      <c r="F16" s="4"/>
      <c r="G16" s="4"/>
      <c r="H16" s="16"/>
      <c r="K16" s="4"/>
    </row>
    <row r="17" spans="1:11" x14ac:dyDescent="0.2">
      <c r="A17" s="6"/>
      <c r="B17" s="9">
        <v>46206</v>
      </c>
      <c r="C17" s="9">
        <v>46367</v>
      </c>
      <c r="D17" s="6" t="s">
        <v>19</v>
      </c>
      <c r="E17" s="4">
        <v>6750</v>
      </c>
      <c r="F17" s="4"/>
      <c r="G17" s="4"/>
      <c r="H17" s="16"/>
      <c r="K17" s="4"/>
    </row>
    <row r="18" spans="1:11" x14ac:dyDescent="0.2">
      <c r="A18" s="6"/>
      <c r="B18" s="9">
        <v>46200</v>
      </c>
      <c r="C18" s="9">
        <v>46345</v>
      </c>
      <c r="D18" s="6" t="s">
        <v>18</v>
      </c>
      <c r="E18" s="4">
        <v>7000</v>
      </c>
      <c r="F18" s="4"/>
      <c r="G18" s="4"/>
      <c r="H18" s="16"/>
      <c r="K18" s="4"/>
    </row>
    <row r="19" spans="1:11" x14ac:dyDescent="0.2">
      <c r="A19" s="6"/>
      <c r="B19" s="9">
        <v>46231</v>
      </c>
      <c r="C19" s="9">
        <v>46327</v>
      </c>
      <c r="D19" s="6" t="s">
        <v>29</v>
      </c>
      <c r="E19" s="4">
        <v>1750</v>
      </c>
      <c r="F19" s="4"/>
      <c r="G19" s="4"/>
      <c r="H19" s="16"/>
      <c r="K19" s="4"/>
    </row>
    <row r="20" spans="1:11" x14ac:dyDescent="0.2">
      <c r="A20" s="6"/>
      <c r="B20" s="9">
        <v>46162</v>
      </c>
      <c r="C20" s="9">
        <v>46326</v>
      </c>
      <c r="D20" s="6" t="s">
        <v>13</v>
      </c>
      <c r="E20" s="4">
        <v>6000</v>
      </c>
      <c r="F20" s="4"/>
      <c r="G20" s="4"/>
      <c r="H20" s="16"/>
      <c r="K20" s="4"/>
    </row>
    <row r="21" spans="1:11" x14ac:dyDescent="0.2">
      <c r="A21" s="6"/>
      <c r="B21" s="9">
        <v>46232</v>
      </c>
      <c r="C21" s="9">
        <v>46318</v>
      </c>
      <c r="D21" s="6" t="s">
        <v>31</v>
      </c>
      <c r="E21" s="4">
        <v>5000</v>
      </c>
      <c r="F21" s="4"/>
      <c r="G21" s="4"/>
      <c r="H21" s="16"/>
      <c r="K21" s="4"/>
    </row>
    <row r="22" spans="1:11" x14ac:dyDescent="0.2">
      <c r="A22" s="6"/>
      <c r="B22" s="9">
        <v>46264</v>
      </c>
      <c r="C22" s="9">
        <v>46318</v>
      </c>
      <c r="D22" s="6" t="s">
        <v>7</v>
      </c>
      <c r="E22" s="4">
        <v>996.58</v>
      </c>
      <c r="F22" s="4"/>
      <c r="G22" s="4"/>
      <c r="H22" s="16"/>
      <c r="K22" s="4"/>
    </row>
    <row r="23" spans="1:11" x14ac:dyDescent="0.2">
      <c r="A23" s="6"/>
      <c r="B23" s="9">
        <v>46274</v>
      </c>
      <c r="C23" s="9">
        <v>46318</v>
      </c>
      <c r="D23" s="6" t="s">
        <v>7</v>
      </c>
      <c r="E23" s="4">
        <v>430.85</v>
      </c>
      <c r="F23" s="4"/>
      <c r="G23" s="4"/>
      <c r="H23" s="16"/>
      <c r="K23" s="4"/>
    </row>
    <row r="24" spans="1:11" x14ac:dyDescent="0.2">
      <c r="A24" s="6"/>
      <c r="B24" s="9">
        <v>46270</v>
      </c>
      <c r="C24" s="9">
        <v>46309</v>
      </c>
      <c r="D24" s="6" t="s">
        <v>69</v>
      </c>
      <c r="E24" s="4">
        <v>825</v>
      </c>
      <c r="F24" s="4"/>
      <c r="G24" s="4"/>
      <c r="H24" s="16"/>
      <c r="K24" s="4"/>
    </row>
    <row r="25" spans="1:11" x14ac:dyDescent="0.2">
      <c r="A25" s="6"/>
      <c r="B25" s="9">
        <v>46281</v>
      </c>
      <c r="C25" s="9">
        <v>46309</v>
      </c>
      <c r="D25" s="6" t="s">
        <v>77</v>
      </c>
      <c r="E25" s="4">
        <v>1875</v>
      </c>
      <c r="F25" s="4"/>
      <c r="G25" s="4"/>
      <c r="H25" s="16"/>
      <c r="K25" s="10"/>
    </row>
    <row r="26" spans="1:11" x14ac:dyDescent="0.2">
      <c r="A26" s="6"/>
      <c r="B26" s="9">
        <v>46193</v>
      </c>
      <c r="C26" s="9">
        <v>46308</v>
      </c>
      <c r="D26" s="6" t="s">
        <v>15</v>
      </c>
      <c r="E26" s="4">
        <v>1750</v>
      </c>
      <c r="F26" s="4"/>
      <c r="G26" s="4"/>
      <c r="H26" s="16"/>
      <c r="K26" s="10"/>
    </row>
    <row r="27" spans="1:11" x14ac:dyDescent="0.2">
      <c r="A27" s="6"/>
      <c r="B27" s="9">
        <v>46267</v>
      </c>
      <c r="C27" s="9">
        <v>46308</v>
      </c>
      <c r="D27" s="6" t="s">
        <v>62</v>
      </c>
      <c r="E27" s="4">
        <v>12500</v>
      </c>
      <c r="F27" s="4"/>
      <c r="G27" s="4"/>
      <c r="H27" s="16"/>
      <c r="K27" s="10"/>
    </row>
    <row r="28" spans="1:11" x14ac:dyDescent="0.2">
      <c r="A28" s="6"/>
      <c r="B28" s="9">
        <v>46197</v>
      </c>
      <c r="C28" s="9">
        <v>46307</v>
      </c>
      <c r="D28" s="6" t="s">
        <v>16</v>
      </c>
      <c r="E28" s="4">
        <v>4000</v>
      </c>
      <c r="F28" s="4"/>
      <c r="G28" s="4"/>
      <c r="H28" s="16"/>
      <c r="K28" s="10"/>
    </row>
    <row r="29" spans="1:11" x14ac:dyDescent="0.2">
      <c r="A29" s="6"/>
      <c r="B29" s="9">
        <v>46281</v>
      </c>
      <c r="C29" s="9">
        <v>46302</v>
      </c>
      <c r="D29" s="6" t="s">
        <v>78</v>
      </c>
      <c r="E29" s="4">
        <v>600</v>
      </c>
      <c r="F29" s="4"/>
      <c r="G29" s="4"/>
      <c r="H29" s="16"/>
      <c r="K29" s="10"/>
    </row>
    <row r="30" spans="1:11" x14ac:dyDescent="0.2">
      <c r="A30" s="6"/>
      <c r="B30" s="9">
        <v>46213</v>
      </c>
      <c r="C30" s="9">
        <v>46301</v>
      </c>
      <c r="D30" s="6" t="s">
        <v>21</v>
      </c>
      <c r="E30" s="4">
        <v>1750</v>
      </c>
      <c r="F30" s="4"/>
      <c r="G30" s="4"/>
      <c r="H30" s="16"/>
      <c r="K30" s="10"/>
    </row>
    <row r="31" spans="1:11" x14ac:dyDescent="0.2">
      <c r="A31" s="6"/>
      <c r="B31" s="9">
        <v>46267</v>
      </c>
      <c r="C31" s="9">
        <v>46301</v>
      </c>
      <c r="D31" s="6" t="s">
        <v>63</v>
      </c>
      <c r="E31" s="4">
        <v>500</v>
      </c>
      <c r="F31" s="4"/>
      <c r="G31" s="4"/>
      <c r="H31" s="16"/>
      <c r="K31" s="10"/>
    </row>
    <row r="32" spans="1:11" x14ac:dyDescent="0.2">
      <c r="A32" s="6"/>
      <c r="B32" s="9">
        <v>46280</v>
      </c>
      <c r="C32" s="9">
        <v>46299</v>
      </c>
      <c r="D32" s="6" t="s">
        <v>74</v>
      </c>
      <c r="E32" s="4">
        <v>1500</v>
      </c>
      <c r="F32" s="4"/>
      <c r="G32" s="4"/>
      <c r="H32" s="9"/>
      <c r="I32" s="6"/>
      <c r="K32" s="5"/>
    </row>
    <row r="33" spans="1:11" x14ac:dyDescent="0.2">
      <c r="A33" s="6"/>
      <c r="B33" s="9">
        <v>46268</v>
      </c>
      <c r="C33" s="9">
        <v>46296</v>
      </c>
      <c r="D33" s="6" t="s">
        <v>65</v>
      </c>
      <c r="E33" s="4">
        <v>2000</v>
      </c>
      <c r="F33" s="4"/>
      <c r="G33" s="4"/>
      <c r="H33" s="9"/>
      <c r="I33" s="6"/>
      <c r="K33" s="5"/>
    </row>
    <row r="34" spans="1:11" x14ac:dyDescent="0.2">
      <c r="A34" s="6"/>
      <c r="B34" s="9">
        <v>46220</v>
      </c>
      <c r="C34" s="9">
        <v>46295</v>
      </c>
      <c r="D34" s="6" t="s">
        <v>7</v>
      </c>
      <c r="E34" s="4">
        <v>664.39</v>
      </c>
      <c r="F34" s="4"/>
      <c r="G34" s="4"/>
      <c r="H34" s="9"/>
      <c r="I34" s="6"/>
      <c r="K34" s="5"/>
    </row>
    <row r="35" spans="1:11" x14ac:dyDescent="0.2">
      <c r="A35" s="6"/>
      <c r="B35" s="9">
        <v>46261</v>
      </c>
      <c r="C35" s="9">
        <v>46293</v>
      </c>
      <c r="D35" s="6" t="s">
        <v>47</v>
      </c>
      <c r="E35" s="4">
        <v>1875</v>
      </c>
      <c r="G35" s="4"/>
      <c r="H35" s="9"/>
      <c r="I35" s="6"/>
      <c r="K35" s="5"/>
    </row>
    <row r="36" spans="1:11" x14ac:dyDescent="0.2">
      <c r="A36" s="6"/>
      <c r="B36" s="9">
        <v>46274</v>
      </c>
      <c r="C36" s="9">
        <v>46292</v>
      </c>
      <c r="D36" s="6" t="s">
        <v>71</v>
      </c>
      <c r="E36" s="4">
        <v>750</v>
      </c>
      <c r="G36" s="4"/>
      <c r="H36" s="9"/>
      <c r="I36" s="6"/>
      <c r="K36" s="5"/>
    </row>
    <row r="37" spans="1:11" x14ac:dyDescent="0.2">
      <c r="A37" s="6"/>
      <c r="B37" s="9">
        <v>46275</v>
      </c>
      <c r="C37" s="9">
        <v>46292</v>
      </c>
      <c r="D37" s="6" t="s">
        <v>73</v>
      </c>
      <c r="E37" s="4">
        <v>490</v>
      </c>
      <c r="G37" s="4"/>
      <c r="H37" s="9"/>
      <c r="I37" s="6"/>
      <c r="K37" s="5"/>
    </row>
    <row r="38" spans="1:11" x14ac:dyDescent="0.2">
      <c r="A38" s="6"/>
      <c r="B38" s="9">
        <v>46280</v>
      </c>
      <c r="C38" s="9">
        <v>46291</v>
      </c>
      <c r="D38" s="6" t="s">
        <v>75</v>
      </c>
      <c r="E38" s="4">
        <v>570</v>
      </c>
      <c r="G38" s="4"/>
      <c r="H38" s="9"/>
      <c r="I38" s="6"/>
      <c r="K38" s="5"/>
    </row>
    <row r="39" spans="1:11" x14ac:dyDescent="0.2">
      <c r="A39" s="6"/>
      <c r="B39" s="9">
        <v>46156</v>
      </c>
      <c r="C39" s="9">
        <v>46288</v>
      </c>
      <c r="D39" s="6" t="s">
        <v>12</v>
      </c>
      <c r="E39" s="4">
        <v>550</v>
      </c>
      <c r="G39" s="4"/>
      <c r="H39" s="9"/>
      <c r="I39" s="6"/>
      <c r="K39" s="5"/>
    </row>
    <row r="40" spans="1:11" x14ac:dyDescent="0.2">
      <c r="A40" s="6"/>
      <c r="B40" s="9"/>
      <c r="C40" s="9"/>
      <c r="D40" s="6"/>
      <c r="G40" s="4"/>
      <c r="H40" s="9"/>
      <c r="I40" s="6"/>
      <c r="K40" s="5"/>
    </row>
    <row r="41" spans="1:11" x14ac:dyDescent="0.2">
      <c r="A41" s="6"/>
      <c r="B41" s="9"/>
      <c r="C41" s="9"/>
      <c r="D41" s="6"/>
      <c r="E41" s="10"/>
      <c r="F41" s="4"/>
      <c r="G41" s="4"/>
      <c r="H41" s="9"/>
      <c r="I41" s="6"/>
      <c r="K41" s="5"/>
    </row>
    <row r="42" spans="1:11" x14ac:dyDescent="0.2">
      <c r="A42" s="6"/>
      <c r="B42" s="9"/>
      <c r="C42" s="9"/>
      <c r="D42" s="6"/>
      <c r="E42" s="10"/>
      <c r="F42" s="4"/>
      <c r="G42" s="4"/>
      <c r="H42" s="9"/>
      <c r="K42" s="5"/>
    </row>
    <row r="43" spans="1:11" x14ac:dyDescent="0.2">
      <c r="A43" s="6"/>
      <c r="B43" s="9"/>
      <c r="C43" s="9"/>
      <c r="F43" s="4"/>
      <c r="G43" s="4"/>
      <c r="H43" s="16"/>
      <c r="K43" s="4"/>
    </row>
    <row r="44" spans="1:11" x14ac:dyDescent="0.2">
      <c r="A44" s="6"/>
      <c r="B44" s="9"/>
      <c r="C44" s="9"/>
      <c r="F44" s="4"/>
      <c r="G44" s="4"/>
      <c r="H44" s="16"/>
      <c r="K44" s="4"/>
    </row>
    <row r="45" spans="1:11" x14ac:dyDescent="0.2">
      <c r="A45" s="6"/>
      <c r="B45" s="9"/>
      <c r="C45" s="9"/>
      <c r="E45" s="10"/>
      <c r="F45" s="4"/>
      <c r="G45" s="4"/>
      <c r="H45" s="9"/>
      <c r="K45" s="4"/>
    </row>
    <row r="46" spans="1:11" x14ac:dyDescent="0.2">
      <c r="A46" s="6"/>
      <c r="B46" s="9"/>
      <c r="C46" s="9"/>
      <c r="G46" s="4"/>
      <c r="H46" s="9"/>
      <c r="K46" s="4"/>
    </row>
    <row r="47" spans="1:11" x14ac:dyDescent="0.2">
      <c r="A47" s="6"/>
      <c r="B47" s="9"/>
      <c r="C47" s="9"/>
      <c r="G47" s="4"/>
      <c r="H47" s="9"/>
      <c r="K47" s="4"/>
    </row>
    <row r="48" spans="1:11" x14ac:dyDescent="0.2">
      <c r="A48" s="6"/>
      <c r="B48" s="9"/>
      <c r="C48" s="9"/>
      <c r="G48" s="4"/>
      <c r="H48" s="9"/>
      <c r="K48" s="4"/>
    </row>
    <row r="49" spans="1:15" s="6" customFormat="1" x14ac:dyDescent="0.2">
      <c r="B49" s="9"/>
      <c r="C49" s="9"/>
      <c r="E49" s="17"/>
      <c r="G49" s="8"/>
      <c r="H49" s="9"/>
      <c r="J49" s="17"/>
      <c r="K49" s="17"/>
    </row>
    <row r="50" spans="1:15" s="6" customFormat="1" x14ac:dyDescent="0.2">
      <c r="B50" s="9"/>
      <c r="C50" s="9"/>
      <c r="E50" s="17"/>
      <c r="G50" s="8"/>
      <c r="H50" s="9"/>
      <c r="J50" s="17"/>
      <c r="K50" s="17"/>
    </row>
    <row r="51" spans="1:15" s="6" customFormat="1" x14ac:dyDescent="0.2">
      <c r="B51" s="9"/>
      <c r="C51" s="9"/>
      <c r="E51" s="17"/>
      <c r="G51" s="8"/>
      <c r="H51" s="9"/>
      <c r="J51" s="17"/>
      <c r="K51" s="17"/>
    </row>
    <row r="52" spans="1:15" s="6" customFormat="1" x14ac:dyDescent="0.2">
      <c r="B52" s="9"/>
      <c r="C52" s="9"/>
      <c r="E52" s="17"/>
      <c r="G52" s="8"/>
      <c r="H52" s="9"/>
      <c r="J52" s="17"/>
      <c r="K52" s="17"/>
    </row>
    <row r="53" spans="1:15" s="6" customFormat="1" x14ac:dyDescent="0.2">
      <c r="B53" s="9"/>
      <c r="C53" s="9"/>
      <c r="E53" s="17"/>
      <c r="G53" s="8"/>
      <c r="H53" s="9"/>
      <c r="J53" s="17"/>
      <c r="K53" s="17"/>
    </row>
    <row r="54" spans="1:15" s="6" customFormat="1" x14ac:dyDescent="0.2">
      <c r="B54" s="9"/>
      <c r="C54" s="9"/>
      <c r="E54" s="17"/>
      <c r="G54" s="8"/>
      <c r="H54" s="9"/>
      <c r="J54" s="17"/>
      <c r="K54" s="17"/>
    </row>
    <row r="55" spans="1:15" x14ac:dyDescent="0.2">
      <c r="B55" s="9"/>
      <c r="C55" s="9"/>
      <c r="E55" s="10"/>
      <c r="H55" s="16"/>
      <c r="K55" s="10"/>
    </row>
    <row r="56" spans="1:15" ht="13.5" thickBot="1" x14ac:dyDescent="0.25">
      <c r="A56" s="6"/>
      <c r="B56" s="9"/>
      <c r="C56" s="9"/>
      <c r="E56" s="14">
        <f>SUM(E7:E55)</f>
        <v>95501.819999999992</v>
      </c>
      <c r="F56" s="6"/>
      <c r="G56" s="6"/>
      <c r="H56" s="9"/>
      <c r="J56" s="14">
        <f>SUM(J8:J55)</f>
        <v>17840.45</v>
      </c>
    </row>
    <row r="57" spans="1:15" ht="13.5" thickTop="1" x14ac:dyDescent="0.2">
      <c r="B57" s="9"/>
      <c r="C57" s="9"/>
      <c r="H57" s="9"/>
    </row>
    <row r="58" spans="1:15" x14ac:dyDescent="0.2">
      <c r="B58" s="9"/>
      <c r="C58" s="9"/>
      <c r="F58" s="10"/>
      <c r="G58" s="10"/>
      <c r="H58" s="9"/>
      <c r="L58" s="10"/>
      <c r="N58" s="10"/>
      <c r="O58" s="10"/>
    </row>
    <row r="59" spans="1:15" x14ac:dyDescent="0.2">
      <c r="B59" s="9"/>
      <c r="C59" s="9"/>
      <c r="H59" s="9"/>
    </row>
    <row r="60" spans="1:15" x14ac:dyDescent="0.2">
      <c r="B60" s="9"/>
      <c r="C60" s="9"/>
      <c r="E60" s="2"/>
      <c r="H60" s="9"/>
      <c r="J60" s="11"/>
    </row>
    <row r="61" spans="1:15" ht="15" x14ac:dyDescent="0.25">
      <c r="F61"/>
      <c r="G61"/>
      <c r="H61" s="9"/>
      <c r="J61" s="4"/>
    </row>
    <row r="62" spans="1:15" ht="15" x14ac:dyDescent="0.25">
      <c r="F62"/>
      <c r="G62"/>
      <c r="H62"/>
      <c r="I62"/>
      <c r="J62" s="12"/>
    </row>
    <row r="63" spans="1:15" ht="15" x14ac:dyDescent="0.25">
      <c r="F63"/>
      <c r="G63"/>
      <c r="H63"/>
      <c r="I63"/>
      <c r="J63"/>
    </row>
    <row r="64" spans="1:15" ht="15" x14ac:dyDescent="0.25">
      <c r="F64"/>
      <c r="G64"/>
      <c r="H64"/>
      <c r="I64"/>
      <c r="J64"/>
    </row>
    <row r="65" spans="1:15" s="4" customFormat="1" x14ac:dyDescent="0.2">
      <c r="A65" s="2"/>
      <c r="B65" s="2"/>
      <c r="C65" s="2"/>
      <c r="D65" s="2"/>
      <c r="F65" s="2"/>
      <c r="G65" s="2"/>
      <c r="H65" s="2"/>
      <c r="I65" s="2"/>
      <c r="J65" s="5"/>
      <c r="K65" s="2"/>
      <c r="L65" s="2"/>
      <c r="M65" s="2"/>
      <c r="N65" s="2"/>
      <c r="O65" s="2"/>
    </row>
    <row r="66" spans="1:15" x14ac:dyDescent="0.2">
      <c r="E66" s="10"/>
    </row>
    <row r="67" spans="1:15" x14ac:dyDescent="0.2">
      <c r="E67" s="2"/>
    </row>
    <row r="68" spans="1:15" x14ac:dyDescent="0.2">
      <c r="E68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5F3B4-39D5-4CCE-8479-839BA64C4A43}">
  <sheetPr>
    <pageSetUpPr fitToPage="1"/>
  </sheetPr>
  <dimension ref="A1:O68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B3" sqref="B3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59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H8" s="16">
        <v>46275</v>
      </c>
      <c r="I8" s="2" t="s">
        <v>56</v>
      </c>
      <c r="J8" s="5">
        <v>3454.4</v>
      </c>
      <c r="K8" s="4"/>
    </row>
    <row r="9" spans="1:11" x14ac:dyDescent="0.2">
      <c r="A9" s="6"/>
      <c r="B9" s="9">
        <v>46268</v>
      </c>
      <c r="C9" s="9" t="s">
        <v>11</v>
      </c>
      <c r="D9" s="6" t="s">
        <v>64</v>
      </c>
      <c r="E9" s="4">
        <v>1375</v>
      </c>
      <c r="F9" s="4"/>
      <c r="G9" s="4"/>
      <c r="H9" s="16"/>
      <c r="K9" s="4"/>
    </row>
    <row r="10" spans="1:11" x14ac:dyDescent="0.2">
      <c r="A10" s="6"/>
      <c r="B10" s="9">
        <v>46262</v>
      </c>
      <c r="C10" s="9">
        <v>46513</v>
      </c>
      <c r="D10" s="6" t="s">
        <v>50</v>
      </c>
      <c r="E10" s="4">
        <v>2250</v>
      </c>
      <c r="F10" s="4"/>
      <c r="G10" s="4"/>
      <c r="H10" s="16"/>
      <c r="K10" s="4"/>
    </row>
    <row r="11" spans="1:11" x14ac:dyDescent="0.2">
      <c r="A11" s="6"/>
      <c r="B11" s="9">
        <v>46240</v>
      </c>
      <c r="C11" s="9">
        <v>46483</v>
      </c>
      <c r="D11" s="6" t="s">
        <v>37</v>
      </c>
      <c r="E11" s="4">
        <v>1750</v>
      </c>
      <c r="F11" s="4"/>
      <c r="G11" s="4"/>
      <c r="H11" s="16"/>
      <c r="K11" s="4"/>
    </row>
    <row r="12" spans="1:11" x14ac:dyDescent="0.2">
      <c r="A12" s="6"/>
      <c r="B12" s="9">
        <v>46269</v>
      </c>
      <c r="C12" s="9">
        <v>46447</v>
      </c>
      <c r="D12" s="6" t="s">
        <v>66</v>
      </c>
      <c r="E12" s="4">
        <v>1875</v>
      </c>
      <c r="F12" s="4"/>
      <c r="G12" s="4"/>
      <c r="H12" s="16"/>
      <c r="K12" s="4"/>
    </row>
    <row r="13" spans="1:11" x14ac:dyDescent="0.2">
      <c r="A13" s="6"/>
      <c r="B13" s="9">
        <v>46247</v>
      </c>
      <c r="C13" s="9">
        <v>46446</v>
      </c>
      <c r="D13" s="6" t="s">
        <v>9</v>
      </c>
      <c r="E13" s="4">
        <v>4000</v>
      </c>
      <c r="F13" s="4"/>
      <c r="G13" s="4"/>
      <c r="H13" s="16"/>
      <c r="K13" s="4"/>
    </row>
    <row r="14" spans="1:11" x14ac:dyDescent="0.2">
      <c r="A14" s="6"/>
      <c r="B14" s="9">
        <v>46267</v>
      </c>
      <c r="C14" s="9">
        <v>46446</v>
      </c>
      <c r="D14" s="6" t="s">
        <v>61</v>
      </c>
      <c r="E14" s="4">
        <v>1500</v>
      </c>
      <c r="F14" s="4"/>
      <c r="G14" s="4"/>
      <c r="H14" s="16"/>
      <c r="K14" s="4"/>
    </row>
    <row r="15" spans="1:11" x14ac:dyDescent="0.2">
      <c r="A15" s="6"/>
      <c r="B15" s="9">
        <v>46218</v>
      </c>
      <c r="C15" s="9">
        <v>46397</v>
      </c>
      <c r="D15" s="6" t="s">
        <v>23</v>
      </c>
      <c r="E15" s="4">
        <v>10000</v>
      </c>
      <c r="F15" s="4"/>
      <c r="G15" s="4"/>
      <c r="H15" s="16"/>
      <c r="K15" s="4"/>
    </row>
    <row r="16" spans="1:11" x14ac:dyDescent="0.2">
      <c r="A16" s="6"/>
      <c r="B16" s="9">
        <v>46232</v>
      </c>
      <c r="C16" s="9">
        <v>46373</v>
      </c>
      <c r="D16" s="6" t="s">
        <v>30</v>
      </c>
      <c r="E16" s="4">
        <v>3000</v>
      </c>
      <c r="F16" s="4"/>
      <c r="G16" s="4"/>
      <c r="H16" s="16"/>
      <c r="K16" s="4"/>
    </row>
    <row r="17" spans="1:11" x14ac:dyDescent="0.2">
      <c r="A17" s="6"/>
      <c r="B17" s="9">
        <v>46240</v>
      </c>
      <c r="C17" s="9">
        <v>46372</v>
      </c>
      <c r="D17" s="6" t="s">
        <v>38</v>
      </c>
      <c r="E17" s="4">
        <v>5000</v>
      </c>
      <c r="F17" s="4"/>
      <c r="G17" s="4"/>
      <c r="H17" s="16"/>
      <c r="K17" s="4"/>
    </row>
    <row r="18" spans="1:11" x14ac:dyDescent="0.2">
      <c r="A18" s="6"/>
      <c r="B18" s="9">
        <v>46206</v>
      </c>
      <c r="C18" s="9">
        <v>46367</v>
      </c>
      <c r="D18" s="6" t="s">
        <v>19</v>
      </c>
      <c r="E18" s="4">
        <v>6750</v>
      </c>
      <c r="F18" s="4"/>
      <c r="G18" s="4"/>
      <c r="H18" s="16"/>
      <c r="K18" s="4"/>
    </row>
    <row r="19" spans="1:11" x14ac:dyDescent="0.2">
      <c r="A19" s="6"/>
      <c r="B19" s="9">
        <v>46200</v>
      </c>
      <c r="C19" s="9">
        <v>46345</v>
      </c>
      <c r="D19" s="6" t="s">
        <v>18</v>
      </c>
      <c r="E19" s="4">
        <v>7000</v>
      </c>
      <c r="F19" s="4"/>
      <c r="G19" s="4"/>
      <c r="H19" s="16"/>
      <c r="K19" s="4"/>
    </row>
    <row r="20" spans="1:11" x14ac:dyDescent="0.2">
      <c r="A20" s="6"/>
      <c r="B20" s="9">
        <v>46231</v>
      </c>
      <c r="C20" s="9">
        <v>46327</v>
      </c>
      <c r="D20" s="6" t="s">
        <v>29</v>
      </c>
      <c r="E20" s="4">
        <v>1750</v>
      </c>
      <c r="F20" s="4"/>
      <c r="G20" s="4"/>
      <c r="H20" s="16"/>
      <c r="K20" s="4"/>
    </row>
    <row r="21" spans="1:11" x14ac:dyDescent="0.2">
      <c r="A21" s="6"/>
      <c r="B21" s="9">
        <v>46162</v>
      </c>
      <c r="C21" s="9">
        <v>46326</v>
      </c>
      <c r="D21" s="6" t="s">
        <v>13</v>
      </c>
      <c r="E21" s="4">
        <v>6000</v>
      </c>
      <c r="F21" s="4"/>
      <c r="G21" s="4"/>
      <c r="H21" s="16"/>
      <c r="K21" s="4"/>
    </row>
    <row r="22" spans="1:11" x14ac:dyDescent="0.2">
      <c r="A22" s="6"/>
      <c r="B22" s="9">
        <v>46232</v>
      </c>
      <c r="C22" s="9">
        <v>46318</v>
      </c>
      <c r="D22" s="6" t="s">
        <v>31</v>
      </c>
      <c r="E22" s="4">
        <v>5000</v>
      </c>
      <c r="F22" s="4"/>
      <c r="G22" s="4"/>
      <c r="H22" s="16"/>
      <c r="K22" s="4"/>
    </row>
    <row r="23" spans="1:11" x14ac:dyDescent="0.2">
      <c r="A23" s="6"/>
      <c r="B23" s="9">
        <v>46264</v>
      </c>
      <c r="C23" s="9">
        <v>46318</v>
      </c>
      <c r="D23" s="6" t="s">
        <v>7</v>
      </c>
      <c r="E23" s="4">
        <v>996.58</v>
      </c>
      <c r="F23" s="4"/>
      <c r="G23" s="4"/>
      <c r="H23" s="16"/>
      <c r="K23" s="4"/>
    </row>
    <row r="24" spans="1:11" x14ac:dyDescent="0.2">
      <c r="A24" s="6"/>
      <c r="B24" s="9">
        <v>46274</v>
      </c>
      <c r="C24" s="9">
        <v>46318</v>
      </c>
      <c r="D24" s="6" t="s">
        <v>7</v>
      </c>
      <c r="E24" s="4">
        <v>430.85</v>
      </c>
      <c r="F24" s="4"/>
      <c r="G24" s="4"/>
      <c r="H24" s="16"/>
      <c r="K24" s="4"/>
    </row>
    <row r="25" spans="1:11" x14ac:dyDescent="0.2">
      <c r="A25" s="6"/>
      <c r="B25" s="9">
        <v>46270</v>
      </c>
      <c r="C25" s="9">
        <v>46309</v>
      </c>
      <c r="D25" s="6" t="s">
        <v>69</v>
      </c>
      <c r="E25" s="4">
        <v>825</v>
      </c>
      <c r="F25" s="4"/>
      <c r="G25" s="4"/>
      <c r="H25" s="16"/>
      <c r="K25" s="10"/>
    </row>
    <row r="26" spans="1:11" x14ac:dyDescent="0.2">
      <c r="A26" s="6"/>
      <c r="B26" s="9">
        <v>46193</v>
      </c>
      <c r="C26" s="9">
        <v>46308</v>
      </c>
      <c r="D26" s="6" t="s">
        <v>15</v>
      </c>
      <c r="E26" s="4">
        <v>1750</v>
      </c>
      <c r="F26" s="4"/>
      <c r="G26" s="4"/>
      <c r="H26" s="16"/>
      <c r="K26" s="10"/>
    </row>
    <row r="27" spans="1:11" x14ac:dyDescent="0.2">
      <c r="A27" s="6"/>
      <c r="B27" s="9">
        <v>46267</v>
      </c>
      <c r="C27" s="9">
        <v>46308</v>
      </c>
      <c r="D27" s="6" t="s">
        <v>62</v>
      </c>
      <c r="E27" s="4">
        <v>12500</v>
      </c>
      <c r="F27" s="4"/>
      <c r="G27" s="4"/>
      <c r="H27" s="16"/>
      <c r="K27" s="10"/>
    </row>
    <row r="28" spans="1:11" x14ac:dyDescent="0.2">
      <c r="A28" s="6"/>
      <c r="B28" s="9">
        <v>46197</v>
      </c>
      <c r="C28" s="9">
        <v>46307</v>
      </c>
      <c r="D28" s="6" t="s">
        <v>16</v>
      </c>
      <c r="E28" s="4">
        <v>4000</v>
      </c>
      <c r="F28" s="4"/>
      <c r="G28" s="4"/>
      <c r="H28" s="16"/>
      <c r="K28" s="10"/>
    </row>
    <row r="29" spans="1:11" x14ac:dyDescent="0.2">
      <c r="A29" s="6"/>
      <c r="B29" s="9">
        <v>46213</v>
      </c>
      <c r="C29" s="9">
        <v>46301</v>
      </c>
      <c r="D29" s="6" t="s">
        <v>21</v>
      </c>
      <c r="E29" s="4">
        <v>1750</v>
      </c>
      <c r="F29" s="4"/>
      <c r="G29" s="4"/>
      <c r="H29" s="16"/>
      <c r="K29" s="10"/>
    </row>
    <row r="30" spans="1:11" x14ac:dyDescent="0.2">
      <c r="A30" s="6"/>
      <c r="B30" s="9">
        <v>46267</v>
      </c>
      <c r="C30" s="9">
        <v>46301</v>
      </c>
      <c r="D30" s="6" t="s">
        <v>63</v>
      </c>
      <c r="E30" s="4">
        <v>500</v>
      </c>
      <c r="F30" s="4"/>
      <c r="G30" s="4"/>
      <c r="H30" s="16"/>
      <c r="K30" s="10"/>
    </row>
    <row r="31" spans="1:11" x14ac:dyDescent="0.2">
      <c r="A31" s="6"/>
      <c r="B31" s="9">
        <v>46268</v>
      </c>
      <c r="C31" s="9">
        <v>46296</v>
      </c>
      <c r="D31" s="6" t="s">
        <v>65</v>
      </c>
      <c r="E31" s="4">
        <v>2000</v>
      </c>
      <c r="F31" s="4"/>
      <c r="G31" s="4"/>
      <c r="H31" s="16"/>
      <c r="K31" s="10"/>
    </row>
    <row r="32" spans="1:11" x14ac:dyDescent="0.2">
      <c r="A32" s="6"/>
      <c r="B32" s="9">
        <v>46220</v>
      </c>
      <c r="C32" s="9">
        <v>46295</v>
      </c>
      <c r="D32" s="6" t="s">
        <v>7</v>
      </c>
      <c r="E32" s="4">
        <v>664.39</v>
      </c>
      <c r="F32" s="4"/>
      <c r="G32" s="4"/>
      <c r="H32" s="9"/>
      <c r="I32" s="6"/>
      <c r="K32" s="5"/>
    </row>
    <row r="33" spans="1:11" x14ac:dyDescent="0.2">
      <c r="A33" s="6"/>
      <c r="B33" s="9">
        <v>46270</v>
      </c>
      <c r="C33" s="9">
        <v>46294</v>
      </c>
      <c r="D33" s="6" t="s">
        <v>7</v>
      </c>
      <c r="E33" s="4">
        <v>664.39</v>
      </c>
      <c r="F33" s="4"/>
      <c r="G33" s="4"/>
      <c r="H33" s="9"/>
      <c r="I33" s="6"/>
      <c r="K33" s="5"/>
    </row>
    <row r="34" spans="1:11" x14ac:dyDescent="0.2">
      <c r="A34" s="6"/>
      <c r="B34" s="9">
        <v>46261</v>
      </c>
      <c r="C34" s="9">
        <v>46293</v>
      </c>
      <c r="D34" s="6" t="s">
        <v>47</v>
      </c>
      <c r="E34" s="4">
        <v>1875</v>
      </c>
      <c r="F34" s="4"/>
      <c r="G34" s="4"/>
      <c r="H34" s="9"/>
      <c r="I34" s="6"/>
      <c r="K34" s="5"/>
    </row>
    <row r="35" spans="1:11" x14ac:dyDescent="0.2">
      <c r="A35" s="6"/>
      <c r="B35" s="9">
        <v>46274</v>
      </c>
      <c r="C35" s="9">
        <v>46292</v>
      </c>
      <c r="D35" s="6" t="s">
        <v>71</v>
      </c>
      <c r="E35" s="4">
        <v>750</v>
      </c>
      <c r="G35" s="4"/>
      <c r="H35" s="9"/>
      <c r="I35" s="6"/>
      <c r="K35" s="5"/>
    </row>
    <row r="36" spans="1:11" x14ac:dyDescent="0.2">
      <c r="A36" s="6"/>
      <c r="B36" s="9">
        <v>46275</v>
      </c>
      <c r="C36" s="9">
        <v>46292</v>
      </c>
      <c r="D36" s="6" t="s">
        <v>73</v>
      </c>
      <c r="E36" s="4">
        <v>490</v>
      </c>
      <c r="G36" s="4"/>
      <c r="H36" s="9"/>
      <c r="I36" s="6"/>
      <c r="K36" s="5"/>
    </row>
    <row r="37" spans="1:11" x14ac:dyDescent="0.2">
      <c r="A37" s="6"/>
      <c r="B37" s="9">
        <v>46156</v>
      </c>
      <c r="C37" s="9">
        <v>46288</v>
      </c>
      <c r="D37" s="6" t="s">
        <v>12</v>
      </c>
      <c r="E37" s="4">
        <v>550</v>
      </c>
      <c r="G37" s="4"/>
      <c r="H37" s="9"/>
      <c r="I37" s="6"/>
      <c r="K37" s="5"/>
    </row>
    <row r="38" spans="1:11" x14ac:dyDescent="0.2">
      <c r="A38" s="6"/>
      <c r="B38" s="9">
        <v>46274</v>
      </c>
      <c r="C38" s="9">
        <v>46285</v>
      </c>
      <c r="D38" s="6" t="s">
        <v>72</v>
      </c>
      <c r="E38" s="4">
        <v>415</v>
      </c>
      <c r="G38" s="4"/>
      <c r="H38" s="9"/>
      <c r="I38" s="6"/>
      <c r="K38" s="5"/>
    </row>
    <row r="39" spans="1:11" x14ac:dyDescent="0.2">
      <c r="A39" s="6"/>
      <c r="B39" s="9">
        <v>46269</v>
      </c>
      <c r="C39" s="9">
        <v>46282</v>
      </c>
      <c r="D39" s="6" t="s">
        <v>67</v>
      </c>
      <c r="E39" s="4">
        <v>500</v>
      </c>
      <c r="G39" s="4"/>
      <c r="H39" s="9"/>
      <c r="I39" s="6"/>
      <c r="K39" s="5"/>
    </row>
    <row r="40" spans="1:11" x14ac:dyDescent="0.2">
      <c r="A40" s="6"/>
      <c r="B40" s="9">
        <v>46253</v>
      </c>
      <c r="C40" s="9">
        <v>46280</v>
      </c>
      <c r="D40" s="6" t="s">
        <v>44</v>
      </c>
      <c r="E40" s="4">
        <v>4000</v>
      </c>
      <c r="G40" s="4"/>
      <c r="H40" s="9"/>
      <c r="I40" s="6"/>
      <c r="K40" s="5"/>
    </row>
    <row r="41" spans="1:11" x14ac:dyDescent="0.2">
      <c r="A41" s="6"/>
      <c r="B41" s="9">
        <v>46212</v>
      </c>
      <c r="C41" s="9">
        <v>46280</v>
      </c>
      <c r="D41" s="6" t="s">
        <v>15</v>
      </c>
      <c r="E41" s="10">
        <v>1750</v>
      </c>
      <c r="F41" s="4"/>
      <c r="G41" s="4"/>
      <c r="H41" s="9"/>
      <c r="I41" s="6"/>
      <c r="K41" s="5"/>
    </row>
    <row r="42" spans="1:11" x14ac:dyDescent="0.2">
      <c r="A42" s="6"/>
      <c r="B42" s="9">
        <v>46274</v>
      </c>
      <c r="C42" s="9">
        <v>46280</v>
      </c>
      <c r="D42" s="6" t="s">
        <v>15</v>
      </c>
      <c r="E42" s="10">
        <v>3022.6</v>
      </c>
      <c r="F42" s="4"/>
      <c r="G42" s="4"/>
      <c r="H42" s="9"/>
      <c r="K42" s="5"/>
    </row>
    <row r="43" spans="1:11" x14ac:dyDescent="0.2">
      <c r="A43" s="6"/>
      <c r="B43" s="9">
        <v>46262</v>
      </c>
      <c r="C43" s="9">
        <v>46279</v>
      </c>
      <c r="D43" s="2" t="s">
        <v>55</v>
      </c>
      <c r="E43" s="4">
        <v>1750</v>
      </c>
      <c r="F43" s="4"/>
      <c r="G43" s="4"/>
      <c r="H43" s="16"/>
      <c r="K43" s="4"/>
    </row>
    <row r="44" spans="1:11" x14ac:dyDescent="0.2">
      <c r="A44" s="6"/>
      <c r="B44" s="9">
        <v>46270</v>
      </c>
      <c r="C44" s="9">
        <v>46279</v>
      </c>
      <c r="D44" s="2" t="s">
        <v>55</v>
      </c>
      <c r="E44" s="4">
        <v>3022.6</v>
      </c>
      <c r="F44" s="4"/>
      <c r="G44" s="4"/>
      <c r="H44" s="16"/>
      <c r="K44" s="4"/>
    </row>
    <row r="45" spans="1:11" x14ac:dyDescent="0.2">
      <c r="A45" s="6"/>
      <c r="B45" s="9"/>
      <c r="C45" s="9"/>
      <c r="E45" s="10"/>
      <c r="F45" s="4"/>
      <c r="G45" s="4"/>
      <c r="H45" s="9"/>
      <c r="K45" s="4"/>
    </row>
    <row r="46" spans="1:11" x14ac:dyDescent="0.2">
      <c r="A46" s="6"/>
      <c r="B46" s="9"/>
      <c r="C46" s="9"/>
      <c r="G46" s="4"/>
      <c r="H46" s="9"/>
      <c r="K46" s="4"/>
    </row>
    <row r="47" spans="1:11" x14ac:dyDescent="0.2">
      <c r="A47" s="6"/>
      <c r="B47" s="9"/>
      <c r="C47" s="9"/>
      <c r="G47" s="4"/>
      <c r="H47" s="9"/>
      <c r="K47" s="4"/>
    </row>
    <row r="48" spans="1:11" x14ac:dyDescent="0.2">
      <c r="A48" s="6"/>
      <c r="B48" s="9"/>
      <c r="C48" s="9"/>
      <c r="G48" s="4"/>
      <c r="H48" s="9"/>
      <c r="K48" s="4"/>
    </row>
    <row r="49" spans="1:15" s="6" customFormat="1" x14ac:dyDescent="0.2">
      <c r="B49" s="9"/>
      <c r="C49" s="9"/>
      <c r="E49" s="17"/>
      <c r="G49" s="8"/>
      <c r="H49" s="9"/>
      <c r="J49" s="17"/>
      <c r="K49" s="17"/>
    </row>
    <row r="50" spans="1:15" s="6" customFormat="1" x14ac:dyDescent="0.2">
      <c r="B50" s="9"/>
      <c r="C50" s="9"/>
      <c r="E50" s="17"/>
      <c r="G50" s="8"/>
      <c r="H50" s="9"/>
      <c r="J50" s="17"/>
      <c r="K50" s="17"/>
    </row>
    <row r="51" spans="1:15" s="6" customFormat="1" x14ac:dyDescent="0.2">
      <c r="B51" s="9"/>
      <c r="C51" s="9"/>
      <c r="E51" s="17"/>
      <c r="G51" s="8"/>
      <c r="H51" s="9"/>
      <c r="J51" s="17"/>
      <c r="K51" s="17"/>
    </row>
    <row r="52" spans="1:15" s="6" customFormat="1" x14ac:dyDescent="0.2">
      <c r="B52" s="9"/>
      <c r="C52" s="9"/>
      <c r="E52" s="17"/>
      <c r="G52" s="8"/>
      <c r="H52" s="9"/>
      <c r="J52" s="17"/>
      <c r="K52" s="17"/>
    </row>
    <row r="53" spans="1:15" s="6" customFormat="1" x14ac:dyDescent="0.2">
      <c r="B53" s="9"/>
      <c r="C53" s="9"/>
      <c r="E53" s="17"/>
      <c r="G53" s="8"/>
      <c r="H53" s="9"/>
      <c r="J53" s="17"/>
      <c r="K53" s="17"/>
    </row>
    <row r="54" spans="1:15" s="6" customFormat="1" x14ac:dyDescent="0.2">
      <c r="B54" s="9"/>
      <c r="C54" s="9"/>
      <c r="E54" s="17"/>
      <c r="G54" s="8"/>
      <c r="H54" s="9"/>
      <c r="J54" s="17"/>
      <c r="K54" s="17"/>
    </row>
    <row r="55" spans="1:15" x14ac:dyDescent="0.2">
      <c r="B55" s="9"/>
      <c r="C55" s="9"/>
      <c r="E55" s="10"/>
      <c r="H55" s="16"/>
      <c r="K55" s="10"/>
    </row>
    <row r="56" spans="1:15" ht="13.5" thickBot="1" x14ac:dyDescent="0.25">
      <c r="A56" s="6"/>
      <c r="B56" s="9"/>
      <c r="C56" s="9"/>
      <c r="E56" s="14">
        <f>SUM(E7:E55)</f>
        <v>107456.41</v>
      </c>
      <c r="F56" s="6"/>
      <c r="G56" s="6"/>
      <c r="H56" s="9"/>
      <c r="J56" s="14">
        <f>SUM(J8:J55)</f>
        <v>3454.4</v>
      </c>
    </row>
    <row r="57" spans="1:15" ht="13.5" thickTop="1" x14ac:dyDescent="0.2">
      <c r="B57" s="9"/>
      <c r="C57" s="9"/>
      <c r="H57" s="9"/>
    </row>
    <row r="58" spans="1:15" x14ac:dyDescent="0.2">
      <c r="B58" s="9"/>
      <c r="C58" s="9"/>
      <c r="F58" s="10"/>
      <c r="G58" s="10"/>
      <c r="H58" s="9"/>
      <c r="L58" s="10"/>
      <c r="N58" s="10"/>
      <c r="O58" s="10"/>
    </row>
    <row r="59" spans="1:15" x14ac:dyDescent="0.2">
      <c r="B59" s="9"/>
      <c r="C59" s="9"/>
      <c r="H59" s="9"/>
    </row>
    <row r="60" spans="1:15" x14ac:dyDescent="0.2">
      <c r="B60" s="9"/>
      <c r="C60" s="9"/>
      <c r="E60" s="2"/>
      <c r="H60" s="9"/>
      <c r="J60" s="11"/>
    </row>
    <row r="61" spans="1:15" ht="15" x14ac:dyDescent="0.25">
      <c r="F61"/>
      <c r="G61"/>
      <c r="H61" s="9"/>
      <c r="J61" s="4"/>
    </row>
    <row r="62" spans="1:15" ht="15" x14ac:dyDescent="0.25">
      <c r="F62"/>
      <c r="G62"/>
      <c r="H62"/>
      <c r="I62"/>
      <c r="J62" s="12"/>
    </row>
    <row r="63" spans="1:15" ht="15" x14ac:dyDescent="0.25">
      <c r="F63"/>
      <c r="G63"/>
      <c r="H63"/>
      <c r="I63"/>
      <c r="J63"/>
    </row>
    <row r="64" spans="1:15" ht="15" x14ac:dyDescent="0.25">
      <c r="F64"/>
      <c r="G64"/>
      <c r="H64"/>
      <c r="I64"/>
      <c r="J64"/>
    </row>
    <row r="65" spans="1:15" s="4" customFormat="1" x14ac:dyDescent="0.2">
      <c r="A65" s="2"/>
      <c r="B65" s="2"/>
      <c r="C65" s="2"/>
      <c r="D65" s="2"/>
      <c r="F65" s="2"/>
      <c r="G65" s="2"/>
      <c r="H65" s="2"/>
      <c r="I65" s="2"/>
      <c r="J65" s="5"/>
      <c r="K65" s="2"/>
      <c r="L65" s="2"/>
      <c r="M65" s="2"/>
      <c r="N65" s="2"/>
      <c r="O65" s="2"/>
    </row>
    <row r="66" spans="1:15" x14ac:dyDescent="0.2">
      <c r="E66" s="10"/>
    </row>
    <row r="67" spans="1:15" x14ac:dyDescent="0.2">
      <c r="E67" s="2"/>
    </row>
    <row r="68" spans="1:15" x14ac:dyDescent="0.2">
      <c r="E68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02058-5BAF-48C9-9CC2-597E089E16B1}">
  <sheetPr>
    <pageSetUpPr fitToPage="1"/>
  </sheetPr>
  <dimension ref="A1:O66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B3" sqref="B3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59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H8" s="16"/>
      <c r="K8" s="4"/>
    </row>
    <row r="9" spans="1:11" x14ac:dyDescent="0.2">
      <c r="A9" s="6"/>
      <c r="B9" s="9">
        <v>46268</v>
      </c>
      <c r="C9" s="9" t="s">
        <v>11</v>
      </c>
      <c r="D9" s="6" t="s">
        <v>64</v>
      </c>
      <c r="E9" s="4">
        <v>1375</v>
      </c>
      <c r="F9" s="4"/>
      <c r="G9" s="4"/>
      <c r="H9" s="16"/>
      <c r="K9" s="4"/>
    </row>
    <row r="10" spans="1:11" x14ac:dyDescent="0.2">
      <c r="A10" s="6"/>
      <c r="B10" s="9">
        <v>46262</v>
      </c>
      <c r="C10" s="9">
        <v>46513</v>
      </c>
      <c r="D10" s="6" t="s">
        <v>50</v>
      </c>
      <c r="E10" s="4">
        <v>2250</v>
      </c>
      <c r="F10" s="4"/>
      <c r="G10" s="4"/>
      <c r="H10" s="16"/>
      <c r="K10" s="4"/>
    </row>
    <row r="11" spans="1:11" x14ac:dyDescent="0.2">
      <c r="A11" s="6"/>
      <c r="B11" s="9">
        <v>46240</v>
      </c>
      <c r="C11" s="9">
        <v>46483</v>
      </c>
      <c r="D11" s="6" t="s">
        <v>37</v>
      </c>
      <c r="E11" s="4">
        <v>1750</v>
      </c>
      <c r="F11" s="4"/>
      <c r="G11" s="4"/>
      <c r="H11" s="16"/>
      <c r="K11" s="4"/>
    </row>
    <row r="12" spans="1:11" x14ac:dyDescent="0.2">
      <c r="A12" s="6"/>
      <c r="B12" s="9">
        <v>46269</v>
      </c>
      <c r="C12" s="9">
        <v>46447</v>
      </c>
      <c r="D12" s="6" t="s">
        <v>66</v>
      </c>
      <c r="E12" s="4">
        <v>1875</v>
      </c>
      <c r="F12" s="4"/>
      <c r="G12" s="4"/>
      <c r="H12" s="16"/>
      <c r="K12" s="4"/>
    </row>
    <row r="13" spans="1:11" x14ac:dyDescent="0.2">
      <c r="A13" s="6"/>
      <c r="B13" s="9">
        <v>46247</v>
      </c>
      <c r="C13" s="9">
        <v>46446</v>
      </c>
      <c r="D13" s="6" t="s">
        <v>9</v>
      </c>
      <c r="E13" s="4">
        <v>4000</v>
      </c>
      <c r="F13" s="4"/>
      <c r="G13" s="4"/>
      <c r="H13" s="16"/>
      <c r="K13" s="4"/>
    </row>
    <row r="14" spans="1:11" x14ac:dyDescent="0.2">
      <c r="A14" s="6"/>
      <c r="B14" s="9">
        <v>46267</v>
      </c>
      <c r="C14" s="9">
        <v>46446</v>
      </c>
      <c r="D14" s="6" t="s">
        <v>61</v>
      </c>
      <c r="E14" s="4">
        <v>1500</v>
      </c>
      <c r="F14" s="4"/>
      <c r="G14" s="4"/>
      <c r="H14" s="16"/>
      <c r="K14" s="4"/>
    </row>
    <row r="15" spans="1:11" x14ac:dyDescent="0.2">
      <c r="A15" s="6"/>
      <c r="B15" s="9">
        <v>46218</v>
      </c>
      <c r="C15" s="9">
        <v>46397</v>
      </c>
      <c r="D15" s="6" t="s">
        <v>23</v>
      </c>
      <c r="E15" s="4">
        <v>10000</v>
      </c>
      <c r="F15" s="4"/>
      <c r="G15" s="4"/>
      <c r="H15" s="16"/>
      <c r="K15" s="4"/>
    </row>
    <row r="16" spans="1:11" x14ac:dyDescent="0.2">
      <c r="A16" s="6"/>
      <c r="B16" s="9">
        <v>46232</v>
      </c>
      <c r="C16" s="9">
        <v>46373</v>
      </c>
      <c r="D16" s="6" t="s">
        <v>30</v>
      </c>
      <c r="E16" s="4">
        <v>3000</v>
      </c>
      <c r="F16" s="4"/>
      <c r="G16" s="4"/>
      <c r="H16" s="16"/>
      <c r="K16" s="4"/>
    </row>
    <row r="17" spans="1:11" x14ac:dyDescent="0.2">
      <c r="A17" s="6"/>
      <c r="B17" s="9">
        <v>46240</v>
      </c>
      <c r="C17" s="9">
        <v>46372</v>
      </c>
      <c r="D17" s="6" t="s">
        <v>38</v>
      </c>
      <c r="E17" s="4">
        <v>5000</v>
      </c>
      <c r="F17" s="4"/>
      <c r="G17" s="4"/>
      <c r="H17" s="16"/>
      <c r="K17" s="4"/>
    </row>
    <row r="18" spans="1:11" x14ac:dyDescent="0.2">
      <c r="A18" s="6"/>
      <c r="B18" s="9">
        <v>46206</v>
      </c>
      <c r="C18" s="9">
        <v>46367</v>
      </c>
      <c r="D18" s="6" t="s">
        <v>19</v>
      </c>
      <c r="E18" s="4">
        <v>6750</v>
      </c>
      <c r="F18" s="4"/>
      <c r="G18" s="4"/>
      <c r="H18" s="16"/>
      <c r="K18" s="4"/>
    </row>
    <row r="19" spans="1:11" x14ac:dyDescent="0.2">
      <c r="A19" s="6"/>
      <c r="B19" s="9">
        <v>46200</v>
      </c>
      <c r="C19" s="9">
        <v>46345</v>
      </c>
      <c r="D19" s="6" t="s">
        <v>18</v>
      </c>
      <c r="E19" s="4">
        <v>7000</v>
      </c>
      <c r="F19" s="4"/>
      <c r="G19" s="4"/>
      <c r="H19" s="16"/>
      <c r="K19" s="4"/>
    </row>
    <row r="20" spans="1:11" x14ac:dyDescent="0.2">
      <c r="A20" s="6"/>
      <c r="B20" s="9">
        <v>46231</v>
      </c>
      <c r="C20" s="9">
        <v>46327</v>
      </c>
      <c r="D20" s="6" t="s">
        <v>29</v>
      </c>
      <c r="E20" s="4">
        <v>1750</v>
      </c>
      <c r="F20" s="4"/>
      <c r="G20" s="4"/>
      <c r="H20" s="16"/>
      <c r="K20" s="4"/>
    </row>
    <row r="21" spans="1:11" x14ac:dyDescent="0.2">
      <c r="A21" s="6"/>
      <c r="B21" s="9">
        <v>46162</v>
      </c>
      <c r="C21" s="9">
        <v>46326</v>
      </c>
      <c r="D21" s="6" t="s">
        <v>13</v>
      </c>
      <c r="E21" s="4">
        <v>6000</v>
      </c>
      <c r="F21" s="4"/>
      <c r="G21" s="4"/>
      <c r="H21" s="16"/>
      <c r="K21" s="4"/>
    </row>
    <row r="22" spans="1:11" x14ac:dyDescent="0.2">
      <c r="A22" s="6"/>
      <c r="B22" s="9">
        <v>46232</v>
      </c>
      <c r="C22" s="9">
        <v>46318</v>
      </c>
      <c r="D22" s="6" t="s">
        <v>31</v>
      </c>
      <c r="E22" s="4">
        <v>5000</v>
      </c>
      <c r="F22" s="4"/>
      <c r="G22" s="4"/>
      <c r="H22" s="16"/>
      <c r="K22" s="4"/>
    </row>
    <row r="23" spans="1:11" x14ac:dyDescent="0.2">
      <c r="A23" s="6"/>
      <c r="B23" s="9">
        <v>46264</v>
      </c>
      <c r="C23" s="9">
        <v>46318</v>
      </c>
      <c r="D23" s="6" t="s">
        <v>7</v>
      </c>
      <c r="E23" s="4">
        <v>996.58</v>
      </c>
      <c r="F23" s="4"/>
      <c r="G23" s="4"/>
      <c r="H23" s="16"/>
      <c r="K23" s="4"/>
    </row>
    <row r="24" spans="1:11" x14ac:dyDescent="0.2">
      <c r="A24" s="6"/>
      <c r="B24" s="9">
        <v>46270</v>
      </c>
      <c r="C24" s="9">
        <v>46309</v>
      </c>
      <c r="D24" s="6" t="s">
        <v>69</v>
      </c>
      <c r="E24" s="4">
        <v>825</v>
      </c>
      <c r="F24" s="4"/>
      <c r="G24" s="4"/>
      <c r="H24" s="16"/>
      <c r="K24" s="4"/>
    </row>
    <row r="25" spans="1:11" x14ac:dyDescent="0.2">
      <c r="A25" s="6"/>
      <c r="B25" s="9">
        <v>46193</v>
      </c>
      <c r="C25" s="9">
        <v>46308</v>
      </c>
      <c r="D25" s="6" t="s">
        <v>15</v>
      </c>
      <c r="E25" s="4">
        <v>1750</v>
      </c>
      <c r="F25" s="4"/>
      <c r="G25" s="4"/>
      <c r="H25" s="16"/>
      <c r="K25" s="10"/>
    </row>
    <row r="26" spans="1:11" x14ac:dyDescent="0.2">
      <c r="A26" s="6"/>
      <c r="B26" s="9">
        <v>46267</v>
      </c>
      <c r="C26" s="9">
        <v>46308</v>
      </c>
      <c r="D26" s="6" t="s">
        <v>62</v>
      </c>
      <c r="E26" s="4">
        <v>12500</v>
      </c>
      <c r="F26" s="4"/>
      <c r="G26" s="4"/>
      <c r="H26" s="16"/>
      <c r="K26" s="10"/>
    </row>
    <row r="27" spans="1:11" x14ac:dyDescent="0.2">
      <c r="A27" s="6"/>
      <c r="B27" s="9">
        <v>46197</v>
      </c>
      <c r="C27" s="9">
        <v>46307</v>
      </c>
      <c r="D27" s="6" t="s">
        <v>16</v>
      </c>
      <c r="E27" s="4">
        <v>4000</v>
      </c>
      <c r="F27" s="4"/>
      <c r="G27" s="4"/>
      <c r="H27" s="16"/>
      <c r="K27" s="10"/>
    </row>
    <row r="28" spans="1:11" x14ac:dyDescent="0.2">
      <c r="A28" s="6"/>
      <c r="B28" s="9">
        <v>46213</v>
      </c>
      <c r="C28" s="9">
        <v>46301</v>
      </c>
      <c r="D28" s="6" t="s">
        <v>21</v>
      </c>
      <c r="E28" s="4">
        <v>1750</v>
      </c>
      <c r="F28" s="4"/>
      <c r="G28" s="4"/>
      <c r="H28" s="16"/>
      <c r="K28" s="10"/>
    </row>
    <row r="29" spans="1:11" x14ac:dyDescent="0.2">
      <c r="A29" s="6"/>
      <c r="B29" s="9">
        <v>46267</v>
      </c>
      <c r="C29" s="9">
        <v>46301</v>
      </c>
      <c r="D29" s="6" t="s">
        <v>63</v>
      </c>
      <c r="E29" s="4">
        <v>500</v>
      </c>
      <c r="F29" s="4"/>
      <c r="G29" s="4"/>
      <c r="H29" s="16"/>
      <c r="K29" s="10"/>
    </row>
    <row r="30" spans="1:11" x14ac:dyDescent="0.2">
      <c r="A30" s="6"/>
      <c r="B30" s="9">
        <v>46268</v>
      </c>
      <c r="C30" s="9">
        <v>46296</v>
      </c>
      <c r="D30" s="6" t="s">
        <v>65</v>
      </c>
      <c r="E30" s="4">
        <v>2000</v>
      </c>
      <c r="F30" s="4"/>
      <c r="G30" s="4"/>
      <c r="H30" s="16"/>
      <c r="K30" s="10"/>
    </row>
    <row r="31" spans="1:11" x14ac:dyDescent="0.2">
      <c r="A31" s="6"/>
      <c r="B31" s="9">
        <v>46220</v>
      </c>
      <c r="C31" s="9">
        <v>46295</v>
      </c>
      <c r="D31" s="6" t="s">
        <v>7</v>
      </c>
      <c r="E31" s="4">
        <v>664.39</v>
      </c>
      <c r="F31" s="4"/>
      <c r="G31" s="4"/>
      <c r="H31" s="16"/>
      <c r="K31" s="10"/>
    </row>
    <row r="32" spans="1:11" x14ac:dyDescent="0.2">
      <c r="A32" s="6"/>
      <c r="B32" s="9">
        <v>46270</v>
      </c>
      <c r="C32" s="9">
        <v>46294</v>
      </c>
      <c r="D32" s="6" t="s">
        <v>7</v>
      </c>
      <c r="E32" s="4">
        <v>664.39</v>
      </c>
      <c r="F32" s="4"/>
      <c r="G32" s="4"/>
      <c r="H32" s="9"/>
      <c r="I32" s="6"/>
      <c r="K32" s="5"/>
    </row>
    <row r="33" spans="1:11" x14ac:dyDescent="0.2">
      <c r="A33" s="6"/>
      <c r="B33" s="9">
        <v>46261</v>
      </c>
      <c r="C33" s="9">
        <v>46293</v>
      </c>
      <c r="D33" s="6" t="s">
        <v>47</v>
      </c>
      <c r="E33" s="4">
        <v>1875</v>
      </c>
      <c r="F33" s="4"/>
      <c r="G33" s="4"/>
      <c r="H33" s="9"/>
      <c r="I33" s="6"/>
      <c r="K33" s="5"/>
    </row>
    <row r="34" spans="1:11" x14ac:dyDescent="0.2">
      <c r="A34" s="6"/>
      <c r="B34" s="9">
        <v>46156</v>
      </c>
      <c r="C34" s="9">
        <v>46288</v>
      </c>
      <c r="D34" s="6" t="s">
        <v>12</v>
      </c>
      <c r="E34" s="4">
        <v>550</v>
      </c>
      <c r="F34" s="4"/>
      <c r="G34" s="4"/>
      <c r="H34" s="9"/>
      <c r="I34" s="6"/>
      <c r="K34" s="5"/>
    </row>
    <row r="35" spans="1:11" x14ac:dyDescent="0.2">
      <c r="A35" s="6"/>
      <c r="B35" s="9">
        <v>46269</v>
      </c>
      <c r="C35" s="9">
        <v>46282</v>
      </c>
      <c r="D35" s="6" t="s">
        <v>67</v>
      </c>
      <c r="E35" s="4">
        <v>500</v>
      </c>
      <c r="G35" s="4"/>
      <c r="H35" s="9"/>
      <c r="I35" s="6"/>
      <c r="K35" s="5"/>
    </row>
    <row r="36" spans="1:11" x14ac:dyDescent="0.2">
      <c r="A36" s="6"/>
      <c r="B36" s="9">
        <v>46253</v>
      </c>
      <c r="C36" s="9">
        <v>46280</v>
      </c>
      <c r="D36" s="6" t="s">
        <v>44</v>
      </c>
      <c r="E36" s="4">
        <v>4000</v>
      </c>
      <c r="G36" s="4"/>
      <c r="H36" s="9"/>
      <c r="I36" s="6"/>
      <c r="K36" s="5"/>
    </row>
    <row r="37" spans="1:11" x14ac:dyDescent="0.2">
      <c r="A37" s="6"/>
      <c r="B37" s="9">
        <v>46212</v>
      </c>
      <c r="C37" s="9">
        <v>46280</v>
      </c>
      <c r="D37" s="6" t="s">
        <v>15</v>
      </c>
      <c r="E37" s="4">
        <v>1750</v>
      </c>
      <c r="G37" s="4"/>
      <c r="H37" s="9"/>
      <c r="I37" s="6"/>
      <c r="K37" s="5"/>
    </row>
    <row r="38" spans="1:11" x14ac:dyDescent="0.2">
      <c r="A38" s="6"/>
      <c r="B38" s="9">
        <v>46262</v>
      </c>
      <c r="C38" s="9">
        <v>46279</v>
      </c>
      <c r="D38" s="6" t="s">
        <v>55</v>
      </c>
      <c r="E38" s="4">
        <v>1750</v>
      </c>
      <c r="G38" s="4"/>
      <c r="H38" s="9"/>
      <c r="I38" s="6"/>
      <c r="K38" s="5"/>
    </row>
    <row r="39" spans="1:11" x14ac:dyDescent="0.2">
      <c r="A39" s="6"/>
      <c r="B39" s="9">
        <v>46270</v>
      </c>
      <c r="C39" s="9">
        <v>46279</v>
      </c>
      <c r="D39" s="6" t="s">
        <v>55</v>
      </c>
      <c r="E39" s="4">
        <v>3022.6</v>
      </c>
      <c r="G39" s="4"/>
      <c r="H39" s="9"/>
      <c r="I39" s="6"/>
      <c r="K39" s="5"/>
    </row>
    <row r="40" spans="1:11" x14ac:dyDescent="0.2">
      <c r="A40" s="6"/>
      <c r="B40" s="9">
        <v>46225</v>
      </c>
      <c r="C40" s="9">
        <v>46277</v>
      </c>
      <c r="D40" s="6" t="s">
        <v>27</v>
      </c>
      <c r="E40" s="4">
        <v>460</v>
      </c>
      <c r="G40" s="4"/>
      <c r="H40" s="9"/>
      <c r="I40" s="6"/>
      <c r="K40" s="5"/>
    </row>
    <row r="41" spans="1:11" x14ac:dyDescent="0.2">
      <c r="A41" s="6"/>
      <c r="B41" s="9">
        <v>46267</v>
      </c>
      <c r="C41" s="9">
        <v>46277</v>
      </c>
      <c r="D41" s="6" t="s">
        <v>7</v>
      </c>
      <c r="E41" s="10">
        <v>430.85</v>
      </c>
      <c r="F41" s="4"/>
      <c r="G41" s="4"/>
      <c r="H41" s="9"/>
      <c r="I41" s="6"/>
      <c r="K41" s="5"/>
    </row>
    <row r="42" spans="1:11" x14ac:dyDescent="0.2">
      <c r="A42" s="6"/>
      <c r="B42" s="9">
        <v>46268</v>
      </c>
      <c r="C42" s="9">
        <v>46277</v>
      </c>
      <c r="D42" s="6" t="s">
        <v>7</v>
      </c>
      <c r="E42" s="10">
        <v>430.85</v>
      </c>
      <c r="F42" s="4"/>
      <c r="G42" s="4"/>
      <c r="H42" s="9"/>
      <c r="K42" s="5"/>
    </row>
    <row r="43" spans="1:11" x14ac:dyDescent="0.2">
      <c r="A43" s="6"/>
      <c r="B43" s="9">
        <v>46262</v>
      </c>
      <c r="C43" s="9">
        <v>46276</v>
      </c>
      <c r="D43" s="2" t="s">
        <v>54</v>
      </c>
      <c r="E43" s="4">
        <v>805</v>
      </c>
      <c r="F43" s="4"/>
      <c r="G43" s="4"/>
      <c r="H43" s="16"/>
      <c r="K43" s="4"/>
    </row>
    <row r="44" spans="1:11" x14ac:dyDescent="0.2">
      <c r="A44" s="6"/>
      <c r="B44" s="9">
        <v>46270</v>
      </c>
      <c r="C44" s="9">
        <v>46276</v>
      </c>
      <c r="D44" s="2" t="s">
        <v>7</v>
      </c>
      <c r="E44" s="4">
        <v>664.39</v>
      </c>
      <c r="F44" s="4"/>
      <c r="G44" s="4"/>
      <c r="H44" s="16"/>
      <c r="K44" s="4"/>
    </row>
    <row r="45" spans="1:11" x14ac:dyDescent="0.2">
      <c r="A45" s="6"/>
      <c r="B45" s="9">
        <v>46270</v>
      </c>
      <c r="C45" s="9">
        <v>46276</v>
      </c>
      <c r="D45" s="2" t="s">
        <v>70</v>
      </c>
      <c r="E45" s="10">
        <v>1390.4</v>
      </c>
      <c r="F45" s="4"/>
      <c r="G45" s="4"/>
      <c r="H45" s="9"/>
      <c r="K45" s="4"/>
    </row>
    <row r="46" spans="1:11" x14ac:dyDescent="0.2">
      <c r="A46" s="6"/>
      <c r="B46" s="9">
        <v>46262</v>
      </c>
      <c r="C46" s="9">
        <v>46275</v>
      </c>
      <c r="D46" s="2" t="s">
        <v>56</v>
      </c>
      <c r="E46" s="4">
        <v>2000</v>
      </c>
      <c r="G46" s="4"/>
      <c r="H46" s="9"/>
      <c r="K46" s="4"/>
    </row>
    <row r="47" spans="1:11" x14ac:dyDescent="0.2">
      <c r="A47" s="6"/>
      <c r="B47" s="9">
        <v>46262</v>
      </c>
      <c r="C47" s="9">
        <v>46275</v>
      </c>
      <c r="D47" s="2" t="s">
        <v>7</v>
      </c>
      <c r="E47" s="4">
        <v>664.39</v>
      </c>
      <c r="G47" s="4"/>
      <c r="H47" s="9"/>
      <c r="K47" s="4"/>
    </row>
    <row r="48" spans="1:11" x14ac:dyDescent="0.2">
      <c r="A48" s="6"/>
      <c r="B48" s="9">
        <v>46269</v>
      </c>
      <c r="C48" s="9">
        <v>46275</v>
      </c>
      <c r="D48" s="2" t="s">
        <v>68</v>
      </c>
      <c r="E48" s="4">
        <v>10908.8</v>
      </c>
      <c r="G48" s="4"/>
      <c r="H48" s="9"/>
      <c r="K48" s="4"/>
    </row>
    <row r="49" spans="1:15" s="6" customFormat="1" x14ac:dyDescent="0.2">
      <c r="B49" s="9">
        <v>46267</v>
      </c>
      <c r="C49" s="9">
        <v>46274</v>
      </c>
      <c r="D49" s="6" t="s">
        <v>63</v>
      </c>
      <c r="E49" s="17">
        <v>1875</v>
      </c>
      <c r="G49" s="8"/>
      <c r="H49" s="9"/>
      <c r="J49" s="17"/>
      <c r="K49" s="17"/>
    </row>
    <row r="50" spans="1:15" s="6" customFormat="1" x14ac:dyDescent="0.2">
      <c r="B50" s="9"/>
      <c r="C50" s="9"/>
      <c r="E50" s="17"/>
      <c r="G50" s="8"/>
      <c r="H50" s="9"/>
      <c r="J50" s="17"/>
      <c r="K50" s="17"/>
    </row>
    <row r="51" spans="1:15" s="6" customFormat="1" x14ac:dyDescent="0.2">
      <c r="B51" s="9"/>
      <c r="C51" s="9"/>
      <c r="E51" s="17"/>
      <c r="G51" s="8"/>
      <c r="H51" s="9"/>
      <c r="J51" s="17"/>
      <c r="K51" s="17"/>
    </row>
    <row r="52" spans="1:15" s="6" customFormat="1" x14ac:dyDescent="0.2">
      <c r="B52" s="9"/>
      <c r="C52" s="9"/>
      <c r="E52" s="17"/>
      <c r="G52" s="8"/>
      <c r="H52" s="9"/>
      <c r="J52" s="17"/>
      <c r="K52" s="17"/>
    </row>
    <row r="53" spans="1:15" x14ac:dyDescent="0.2">
      <c r="B53" s="9"/>
      <c r="C53" s="9"/>
      <c r="E53" s="10"/>
      <c r="H53" s="16"/>
      <c r="K53" s="10"/>
    </row>
    <row r="54" spans="1:15" ht="13.5" thickBot="1" x14ac:dyDescent="0.25">
      <c r="A54" s="6"/>
      <c r="B54" s="9"/>
      <c r="C54" s="9"/>
      <c r="E54" s="14">
        <f>SUM(E7:E53)</f>
        <v>121977.64000000001</v>
      </c>
      <c r="F54" s="6"/>
      <c r="G54" s="6"/>
      <c r="H54" s="9"/>
      <c r="J54" s="14">
        <f>SUM(J8:J53)</f>
        <v>0</v>
      </c>
    </row>
    <row r="55" spans="1:15" ht="13.5" thickTop="1" x14ac:dyDescent="0.2">
      <c r="B55" s="9"/>
      <c r="C55" s="9"/>
      <c r="H55" s="9"/>
    </row>
    <row r="56" spans="1:15" x14ac:dyDescent="0.2">
      <c r="B56" s="9"/>
      <c r="C56" s="9"/>
      <c r="F56" s="10"/>
      <c r="G56" s="10"/>
      <c r="H56" s="9"/>
      <c r="L56" s="10"/>
      <c r="N56" s="10"/>
      <c r="O56" s="10"/>
    </row>
    <row r="57" spans="1:15" x14ac:dyDescent="0.2">
      <c r="B57" s="9"/>
      <c r="C57" s="9"/>
      <c r="H57" s="9"/>
    </row>
    <row r="58" spans="1:15" x14ac:dyDescent="0.2">
      <c r="B58" s="9"/>
      <c r="C58" s="9"/>
      <c r="E58" s="2"/>
      <c r="H58" s="9"/>
      <c r="J58" s="11"/>
    </row>
    <row r="59" spans="1:15" ht="15" x14ac:dyDescent="0.25">
      <c r="F59"/>
      <c r="G59"/>
      <c r="H59" s="9"/>
      <c r="J59" s="4"/>
    </row>
    <row r="60" spans="1:15" ht="15" x14ac:dyDescent="0.25">
      <c r="F60"/>
      <c r="G60"/>
      <c r="H60"/>
      <c r="I60"/>
      <c r="J60" s="12"/>
    </row>
    <row r="61" spans="1:15" ht="15" x14ac:dyDescent="0.25">
      <c r="F61"/>
      <c r="G61"/>
      <c r="H61"/>
      <c r="I61"/>
      <c r="J61"/>
    </row>
    <row r="62" spans="1:15" ht="15" x14ac:dyDescent="0.25">
      <c r="F62"/>
      <c r="G62"/>
      <c r="H62"/>
      <c r="I62"/>
      <c r="J62"/>
    </row>
    <row r="63" spans="1:15" s="4" customFormat="1" x14ac:dyDescent="0.2">
      <c r="A63" s="2"/>
      <c r="B63" s="2"/>
      <c r="C63" s="2"/>
      <c r="D63" s="2"/>
      <c r="F63" s="2"/>
      <c r="G63" s="2"/>
      <c r="H63" s="2"/>
      <c r="I63" s="2"/>
      <c r="J63" s="5"/>
      <c r="K63" s="2"/>
      <c r="L63" s="2"/>
      <c r="M63" s="2"/>
      <c r="N63" s="2"/>
      <c r="O63" s="2"/>
    </row>
    <row r="64" spans="1:15" x14ac:dyDescent="0.2">
      <c r="E64" s="10"/>
    </row>
    <row r="65" spans="5:5" x14ac:dyDescent="0.2">
      <c r="E65" s="2"/>
    </row>
    <row r="66" spans="5:5" x14ac:dyDescent="0.2">
      <c r="E66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62E04-F9C3-4B34-87EC-D047795E6DAA}">
  <sheetPr>
    <pageSetUpPr fitToPage="1"/>
  </sheetPr>
  <dimension ref="A1:O63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H40" sqref="H40:J40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40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K8" s="4"/>
    </row>
    <row r="9" spans="1:11" x14ac:dyDescent="0.2">
      <c r="A9" s="6"/>
      <c r="B9" s="9">
        <v>46262</v>
      </c>
      <c r="C9" s="9">
        <v>46513</v>
      </c>
      <c r="D9" s="6" t="s">
        <v>50</v>
      </c>
      <c r="E9" s="4">
        <v>2250</v>
      </c>
      <c r="F9" s="4"/>
      <c r="G9" s="4"/>
      <c r="K9" s="4"/>
    </row>
    <row r="10" spans="1:11" x14ac:dyDescent="0.2">
      <c r="A10" s="6"/>
      <c r="B10" s="9">
        <v>46240</v>
      </c>
      <c r="C10" s="9">
        <v>46483</v>
      </c>
      <c r="D10" s="6" t="s">
        <v>37</v>
      </c>
      <c r="E10" s="4">
        <v>1750</v>
      </c>
      <c r="F10" s="4"/>
      <c r="G10" s="4"/>
      <c r="K10" s="4"/>
    </row>
    <row r="11" spans="1:11" x14ac:dyDescent="0.2">
      <c r="A11" s="6"/>
      <c r="B11" s="9">
        <v>46247</v>
      </c>
      <c r="C11" s="9">
        <v>46446</v>
      </c>
      <c r="D11" s="6" t="s">
        <v>9</v>
      </c>
      <c r="E11" s="4">
        <v>4000</v>
      </c>
      <c r="F11" s="4"/>
      <c r="G11" s="4"/>
      <c r="K11" s="4"/>
    </row>
    <row r="12" spans="1:11" x14ac:dyDescent="0.2">
      <c r="A12" s="6"/>
      <c r="B12" s="9">
        <v>46218</v>
      </c>
      <c r="C12" s="9">
        <v>46397</v>
      </c>
      <c r="D12" s="6" t="s">
        <v>23</v>
      </c>
      <c r="E12" s="4">
        <v>10000</v>
      </c>
      <c r="F12" s="4"/>
      <c r="G12" s="4"/>
      <c r="K12" s="4"/>
    </row>
    <row r="13" spans="1:11" x14ac:dyDescent="0.2">
      <c r="A13" s="6"/>
      <c r="B13" s="9">
        <v>46232</v>
      </c>
      <c r="C13" s="9">
        <v>46373</v>
      </c>
      <c r="D13" s="6" t="s">
        <v>30</v>
      </c>
      <c r="E13" s="4">
        <v>3000</v>
      </c>
      <c r="F13" s="4"/>
      <c r="G13" s="4"/>
      <c r="K13" s="4"/>
    </row>
    <row r="14" spans="1:11" x14ac:dyDescent="0.2">
      <c r="A14" s="6"/>
      <c r="B14" s="9">
        <v>46240</v>
      </c>
      <c r="C14" s="9">
        <v>46372</v>
      </c>
      <c r="D14" s="6" t="s">
        <v>38</v>
      </c>
      <c r="E14" s="4">
        <v>5000</v>
      </c>
      <c r="F14" s="4"/>
      <c r="G14" s="4"/>
      <c r="K14" s="4"/>
    </row>
    <row r="15" spans="1:11" x14ac:dyDescent="0.2">
      <c r="A15" s="6"/>
      <c r="B15" s="9">
        <v>46206</v>
      </c>
      <c r="C15" s="9">
        <v>46367</v>
      </c>
      <c r="D15" s="6" t="s">
        <v>19</v>
      </c>
      <c r="E15" s="4">
        <v>6750</v>
      </c>
      <c r="F15" s="4"/>
      <c r="G15" s="4"/>
      <c r="K15" s="4"/>
    </row>
    <row r="16" spans="1:11" x14ac:dyDescent="0.2">
      <c r="A16" s="6"/>
      <c r="B16" s="9">
        <v>46200</v>
      </c>
      <c r="C16" s="9">
        <v>46345</v>
      </c>
      <c r="D16" s="6" t="s">
        <v>18</v>
      </c>
      <c r="E16" s="4">
        <v>7000</v>
      </c>
      <c r="F16" s="4"/>
      <c r="G16" s="4"/>
      <c r="K16" s="4"/>
    </row>
    <row r="17" spans="1:11" x14ac:dyDescent="0.2">
      <c r="A17" s="6"/>
      <c r="B17" s="9">
        <v>46231</v>
      </c>
      <c r="C17" s="9">
        <v>46327</v>
      </c>
      <c r="D17" s="6" t="s">
        <v>29</v>
      </c>
      <c r="E17" s="4">
        <v>1750</v>
      </c>
      <c r="F17" s="4"/>
      <c r="G17" s="4"/>
      <c r="K17" s="4"/>
    </row>
    <row r="18" spans="1:11" x14ac:dyDescent="0.2">
      <c r="A18" s="6"/>
      <c r="B18" s="9">
        <v>46162</v>
      </c>
      <c r="C18" s="9">
        <v>46326</v>
      </c>
      <c r="D18" s="6" t="s">
        <v>13</v>
      </c>
      <c r="E18" s="4">
        <v>6000</v>
      </c>
      <c r="F18" s="4"/>
      <c r="G18" s="4"/>
      <c r="K18" s="4"/>
    </row>
    <row r="19" spans="1:11" x14ac:dyDescent="0.2">
      <c r="A19" s="6"/>
      <c r="B19" s="9">
        <v>46232</v>
      </c>
      <c r="C19" s="9">
        <v>46318</v>
      </c>
      <c r="D19" s="6" t="s">
        <v>31</v>
      </c>
      <c r="E19" s="4">
        <v>5000</v>
      </c>
      <c r="F19" s="4"/>
      <c r="G19" s="4"/>
      <c r="K19" s="4"/>
    </row>
    <row r="20" spans="1:11" x14ac:dyDescent="0.2">
      <c r="A20" s="6"/>
      <c r="B20" s="9">
        <v>46264</v>
      </c>
      <c r="C20" s="9">
        <v>46318</v>
      </c>
      <c r="D20" s="6" t="s">
        <v>7</v>
      </c>
      <c r="E20" s="4">
        <v>996.58</v>
      </c>
      <c r="F20" s="4"/>
      <c r="G20" s="4"/>
      <c r="K20" s="4"/>
    </row>
    <row r="21" spans="1:11" x14ac:dyDescent="0.2">
      <c r="A21" s="6"/>
      <c r="B21" s="9">
        <v>46193</v>
      </c>
      <c r="C21" s="9">
        <v>46308</v>
      </c>
      <c r="D21" s="6" t="s">
        <v>15</v>
      </c>
      <c r="E21" s="4">
        <v>1750</v>
      </c>
      <c r="F21" s="4"/>
      <c r="G21" s="4"/>
      <c r="K21" s="4"/>
    </row>
    <row r="22" spans="1:11" x14ac:dyDescent="0.2">
      <c r="A22" s="6"/>
      <c r="B22" s="9">
        <v>46197</v>
      </c>
      <c r="C22" s="9">
        <v>46307</v>
      </c>
      <c r="D22" s="6" t="s">
        <v>16</v>
      </c>
      <c r="E22" s="4">
        <v>4000</v>
      </c>
      <c r="F22" s="4"/>
      <c r="G22" s="4"/>
      <c r="K22" s="4"/>
    </row>
    <row r="23" spans="1:11" x14ac:dyDescent="0.2">
      <c r="A23" s="6"/>
      <c r="B23" s="9">
        <v>46256</v>
      </c>
      <c r="C23" s="9">
        <v>46303</v>
      </c>
      <c r="D23" s="6" t="s">
        <v>45</v>
      </c>
      <c r="E23" s="4">
        <v>2250</v>
      </c>
      <c r="F23" s="4"/>
      <c r="G23" s="4"/>
      <c r="K23" s="4"/>
    </row>
    <row r="24" spans="1:11" x14ac:dyDescent="0.2">
      <c r="A24" s="6"/>
      <c r="B24" s="9">
        <v>46213</v>
      </c>
      <c r="C24" s="9">
        <v>46301</v>
      </c>
      <c r="D24" s="6" t="s">
        <v>21</v>
      </c>
      <c r="E24" s="4">
        <v>1750</v>
      </c>
      <c r="F24" s="4"/>
      <c r="G24" s="4"/>
      <c r="K24" s="4"/>
    </row>
    <row r="25" spans="1:11" x14ac:dyDescent="0.2">
      <c r="A25" s="6"/>
      <c r="B25" s="9">
        <v>46220</v>
      </c>
      <c r="C25" s="9">
        <v>46295</v>
      </c>
      <c r="D25" s="6" t="s">
        <v>7</v>
      </c>
      <c r="E25" s="4">
        <v>664.39</v>
      </c>
      <c r="F25" s="4"/>
      <c r="G25" s="4"/>
    </row>
    <row r="26" spans="1:11" x14ac:dyDescent="0.2">
      <c r="A26" s="6"/>
      <c r="B26" s="9">
        <v>46261</v>
      </c>
      <c r="C26" s="9">
        <v>46293</v>
      </c>
      <c r="D26" s="6" t="s">
        <v>47</v>
      </c>
      <c r="E26" s="4">
        <v>1875</v>
      </c>
      <c r="F26" s="4"/>
      <c r="G26" s="4"/>
    </row>
    <row r="27" spans="1:11" x14ac:dyDescent="0.2">
      <c r="A27" s="6"/>
      <c r="B27" s="9">
        <v>46156</v>
      </c>
      <c r="C27" s="9">
        <v>46288</v>
      </c>
      <c r="D27" s="6" t="s">
        <v>12</v>
      </c>
      <c r="E27" s="4">
        <v>550</v>
      </c>
      <c r="F27" s="4"/>
      <c r="G27" s="4"/>
    </row>
    <row r="28" spans="1:11" x14ac:dyDescent="0.2">
      <c r="A28" s="6"/>
      <c r="B28" s="9">
        <v>46253</v>
      </c>
      <c r="C28" s="9">
        <v>46280</v>
      </c>
      <c r="D28" s="6" t="s">
        <v>44</v>
      </c>
      <c r="E28" s="4">
        <v>4000</v>
      </c>
      <c r="F28" s="4"/>
      <c r="G28" s="4"/>
    </row>
    <row r="29" spans="1:11" x14ac:dyDescent="0.2">
      <c r="A29" s="6"/>
      <c r="B29" s="9">
        <v>46212</v>
      </c>
      <c r="C29" s="9">
        <v>46280</v>
      </c>
      <c r="D29" s="6" t="s">
        <v>15</v>
      </c>
      <c r="E29" s="4">
        <v>1750</v>
      </c>
      <c r="F29" s="4"/>
      <c r="G29" s="4"/>
    </row>
    <row r="30" spans="1:11" x14ac:dyDescent="0.2">
      <c r="A30" s="6"/>
      <c r="B30" s="9">
        <v>46262</v>
      </c>
      <c r="C30" s="9">
        <v>46279</v>
      </c>
      <c r="D30" s="6" t="s">
        <v>55</v>
      </c>
      <c r="E30" s="4">
        <v>1750</v>
      </c>
      <c r="F30" s="4"/>
      <c r="G30" s="4"/>
    </row>
    <row r="31" spans="1:11" x14ac:dyDescent="0.2">
      <c r="A31" s="6"/>
      <c r="B31" s="9">
        <v>46225</v>
      </c>
      <c r="C31" s="9">
        <v>46277</v>
      </c>
      <c r="D31" s="6" t="s">
        <v>27</v>
      </c>
      <c r="E31" s="4">
        <v>460</v>
      </c>
      <c r="F31" s="4"/>
      <c r="G31" s="4"/>
    </row>
    <row r="32" spans="1:11" x14ac:dyDescent="0.2">
      <c r="A32" s="6"/>
      <c r="B32" s="9">
        <v>46262</v>
      </c>
      <c r="C32" s="9">
        <v>46276</v>
      </c>
      <c r="D32" s="6" t="s">
        <v>54</v>
      </c>
      <c r="E32" s="4">
        <v>805</v>
      </c>
      <c r="F32" s="4"/>
      <c r="G32" s="4"/>
      <c r="H32" s="9"/>
      <c r="I32" s="6"/>
      <c r="K32" s="5"/>
    </row>
    <row r="33" spans="1:11" x14ac:dyDescent="0.2">
      <c r="A33" s="6"/>
      <c r="B33" s="9">
        <v>46262</v>
      </c>
      <c r="C33" s="9">
        <v>46275</v>
      </c>
      <c r="D33" s="6" t="s">
        <v>56</v>
      </c>
      <c r="E33" s="4">
        <v>2000</v>
      </c>
      <c r="F33" s="4"/>
      <c r="G33" s="4"/>
      <c r="H33" s="9"/>
      <c r="I33" s="6"/>
      <c r="K33" s="5"/>
    </row>
    <row r="34" spans="1:11" x14ac:dyDescent="0.2">
      <c r="A34" s="6"/>
      <c r="B34" s="9">
        <v>46262</v>
      </c>
      <c r="C34" s="9">
        <v>46275</v>
      </c>
      <c r="D34" s="6" t="s">
        <v>7</v>
      </c>
      <c r="E34" s="4">
        <v>664.39</v>
      </c>
      <c r="F34" s="4"/>
      <c r="G34" s="4"/>
      <c r="H34" s="9"/>
      <c r="I34" s="6"/>
      <c r="K34" s="5"/>
    </row>
    <row r="35" spans="1:11" x14ac:dyDescent="0.2">
      <c r="A35" s="6"/>
      <c r="B35" s="9">
        <v>46262</v>
      </c>
      <c r="C35" s="9">
        <v>46271</v>
      </c>
      <c r="D35" s="6" t="s">
        <v>52</v>
      </c>
      <c r="E35" s="4">
        <v>450</v>
      </c>
      <c r="G35" s="4"/>
      <c r="H35" s="9"/>
      <c r="I35" s="6"/>
      <c r="K35" s="5"/>
    </row>
    <row r="36" spans="1:11" x14ac:dyDescent="0.2">
      <c r="A36" s="6"/>
      <c r="B36" s="9">
        <v>46262</v>
      </c>
      <c r="C36" s="9">
        <v>46270</v>
      </c>
      <c r="D36" s="6" t="s">
        <v>53</v>
      </c>
      <c r="E36" s="4">
        <v>805</v>
      </c>
      <c r="G36" s="4"/>
      <c r="H36" s="9"/>
      <c r="I36" s="6"/>
      <c r="K36" s="5"/>
    </row>
    <row r="37" spans="1:11" x14ac:dyDescent="0.2">
      <c r="A37" s="6"/>
      <c r="B37" s="9">
        <v>46262</v>
      </c>
      <c r="C37" s="9">
        <v>46270</v>
      </c>
      <c r="D37" s="6" t="s">
        <v>7</v>
      </c>
      <c r="E37" s="4">
        <f>414.85+16</f>
        <v>430.85</v>
      </c>
      <c r="G37" s="4"/>
      <c r="H37" s="9"/>
      <c r="I37" s="6"/>
      <c r="K37" s="5"/>
    </row>
    <row r="38" spans="1:11" x14ac:dyDescent="0.2">
      <c r="A38" s="6"/>
      <c r="B38" s="9">
        <v>46261</v>
      </c>
      <c r="C38" s="9">
        <v>46269</v>
      </c>
      <c r="D38" s="6" t="s">
        <v>7</v>
      </c>
      <c r="E38" s="4">
        <v>430.85</v>
      </c>
      <c r="G38" s="4"/>
      <c r="H38" s="9"/>
      <c r="I38" s="6"/>
      <c r="K38" s="5"/>
    </row>
    <row r="39" spans="1:11" x14ac:dyDescent="0.2">
      <c r="A39" s="6"/>
      <c r="B39" s="9">
        <v>46263</v>
      </c>
      <c r="C39" s="9">
        <v>46269</v>
      </c>
      <c r="D39" s="6" t="s">
        <v>51</v>
      </c>
      <c r="E39" s="4">
        <v>863</v>
      </c>
      <c r="G39" s="4"/>
      <c r="H39" s="9"/>
      <c r="I39" s="6"/>
      <c r="K39" s="5"/>
    </row>
    <row r="40" spans="1:11" x14ac:dyDescent="0.2">
      <c r="A40" s="6"/>
      <c r="B40" s="9">
        <v>46240</v>
      </c>
      <c r="C40" s="9">
        <v>46267</v>
      </c>
      <c r="D40" s="6" t="s">
        <v>36</v>
      </c>
      <c r="E40" s="4">
        <v>1500</v>
      </c>
      <c r="G40" s="4"/>
      <c r="H40" s="9">
        <v>46265</v>
      </c>
      <c r="I40" s="6" t="s">
        <v>57</v>
      </c>
      <c r="J40" s="5">
        <v>664.02</v>
      </c>
      <c r="K40" s="5"/>
    </row>
    <row r="41" spans="1:11" x14ac:dyDescent="0.2">
      <c r="A41" s="6"/>
      <c r="B41" s="9"/>
      <c r="C41" s="9"/>
      <c r="D41" s="6"/>
      <c r="E41" s="2"/>
      <c r="F41" s="4"/>
      <c r="G41" s="4"/>
      <c r="H41" s="9"/>
      <c r="I41" s="6"/>
      <c r="K41" s="5"/>
    </row>
    <row r="42" spans="1:11" x14ac:dyDescent="0.2">
      <c r="A42" s="6"/>
      <c r="B42" s="9"/>
      <c r="C42" s="9"/>
      <c r="D42" s="6"/>
      <c r="E42" s="2"/>
      <c r="F42" s="4"/>
      <c r="G42" s="4"/>
      <c r="H42" s="9"/>
      <c r="K42" s="5"/>
    </row>
    <row r="43" spans="1:11" x14ac:dyDescent="0.2">
      <c r="A43" s="6"/>
      <c r="B43" s="9"/>
      <c r="C43" s="9"/>
      <c r="F43" s="4"/>
      <c r="G43" s="4"/>
      <c r="K43" s="4"/>
    </row>
    <row r="44" spans="1:11" x14ac:dyDescent="0.2">
      <c r="A44" s="6"/>
      <c r="B44" s="9"/>
      <c r="C44" s="9"/>
      <c r="F44" s="4"/>
      <c r="G44" s="4"/>
      <c r="K44" s="4"/>
    </row>
    <row r="45" spans="1:11" x14ac:dyDescent="0.2">
      <c r="A45" s="6"/>
      <c r="B45" s="9"/>
      <c r="C45" s="9"/>
      <c r="E45" s="2"/>
      <c r="F45" s="4"/>
      <c r="G45" s="4"/>
      <c r="H45" s="9"/>
      <c r="K45" s="4"/>
    </row>
    <row r="46" spans="1:11" x14ac:dyDescent="0.2">
      <c r="A46" s="6"/>
      <c r="B46" s="9"/>
      <c r="C46" s="9"/>
      <c r="G46" s="4"/>
      <c r="H46" s="9"/>
      <c r="K46" s="4"/>
    </row>
    <row r="47" spans="1:11" x14ac:dyDescent="0.2">
      <c r="A47" s="6"/>
      <c r="B47" s="9"/>
      <c r="C47" s="9"/>
      <c r="G47" s="4"/>
      <c r="H47" s="9"/>
      <c r="K47" s="4"/>
    </row>
    <row r="48" spans="1:11" x14ac:dyDescent="0.2">
      <c r="A48" s="6"/>
      <c r="B48" s="9"/>
      <c r="C48" s="9"/>
      <c r="G48" s="4"/>
      <c r="H48" s="9"/>
      <c r="K48" s="4"/>
    </row>
    <row r="49" spans="1:15" s="6" customFormat="1" x14ac:dyDescent="0.2">
      <c r="B49" s="9"/>
      <c r="C49" s="9"/>
      <c r="G49" s="8"/>
    </row>
    <row r="50" spans="1:15" x14ac:dyDescent="0.2">
      <c r="B50" s="9"/>
      <c r="C50" s="9"/>
      <c r="E50" s="2"/>
    </row>
    <row r="51" spans="1:15" ht="13.5" thickBot="1" x14ac:dyDescent="0.25">
      <c r="A51" s="6"/>
      <c r="B51" s="9"/>
      <c r="C51" s="9"/>
      <c r="E51" s="14">
        <f>SUM(E7:E50)</f>
        <v>88245.060000000012</v>
      </c>
      <c r="F51" s="6"/>
      <c r="G51" s="6"/>
      <c r="H51" s="9"/>
      <c r="J51" s="14">
        <f>SUM(J8:J50)</f>
        <v>664.02</v>
      </c>
    </row>
    <row r="52" spans="1:15" ht="13.5" thickTop="1" x14ac:dyDescent="0.2">
      <c r="B52" s="9"/>
      <c r="C52" s="9"/>
      <c r="H52" s="9"/>
    </row>
    <row r="53" spans="1:15" x14ac:dyDescent="0.2">
      <c r="B53" s="9"/>
      <c r="C53" s="9"/>
      <c r="F53" s="10"/>
      <c r="G53" s="10"/>
      <c r="H53" s="9"/>
      <c r="L53" s="10"/>
      <c r="N53" s="10"/>
      <c r="O53" s="10"/>
    </row>
    <row r="54" spans="1:15" x14ac:dyDescent="0.2">
      <c r="B54" s="9"/>
      <c r="C54" s="9"/>
      <c r="H54" s="9"/>
    </row>
    <row r="55" spans="1:15" x14ac:dyDescent="0.2">
      <c r="B55" s="9"/>
      <c r="C55" s="9"/>
      <c r="E55" s="2"/>
      <c r="H55" s="9"/>
      <c r="J55" s="11"/>
    </row>
    <row r="56" spans="1:15" ht="15" x14ac:dyDescent="0.25">
      <c r="F56"/>
      <c r="G56"/>
      <c r="H56" s="9"/>
      <c r="J56" s="4"/>
    </row>
    <row r="57" spans="1:15" ht="15" x14ac:dyDescent="0.25">
      <c r="F57"/>
      <c r="G57"/>
      <c r="H57"/>
      <c r="I57"/>
      <c r="J57" s="12"/>
    </row>
    <row r="58" spans="1:15" ht="15" x14ac:dyDescent="0.25">
      <c r="F58"/>
      <c r="G58"/>
      <c r="H58"/>
      <c r="I58"/>
      <c r="J58"/>
    </row>
    <row r="59" spans="1:15" ht="15" x14ac:dyDescent="0.25">
      <c r="F59"/>
      <c r="G59"/>
      <c r="H59"/>
      <c r="I59"/>
      <c r="J59"/>
    </row>
    <row r="60" spans="1:15" s="4" customFormat="1" x14ac:dyDescent="0.2">
      <c r="A60" s="2"/>
      <c r="B60" s="2"/>
      <c r="C60" s="2"/>
      <c r="D60" s="2"/>
      <c r="F60" s="2"/>
      <c r="G60" s="2"/>
      <c r="H60" s="2"/>
      <c r="I60" s="2"/>
      <c r="J60" s="5"/>
      <c r="K60" s="2"/>
      <c r="L60" s="2"/>
      <c r="M60" s="2"/>
      <c r="N60" s="2"/>
      <c r="O60" s="2"/>
    </row>
    <row r="61" spans="1:15" x14ac:dyDescent="0.2">
      <c r="E61" s="10"/>
    </row>
    <row r="62" spans="1:15" x14ac:dyDescent="0.2">
      <c r="E62" s="2"/>
    </row>
    <row r="63" spans="1:15" x14ac:dyDescent="0.2">
      <c r="E63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C7925-F0C3-4408-9379-1047F263805E}">
  <sheetPr>
    <pageSetUpPr fitToPage="1"/>
  </sheetPr>
  <dimension ref="A1:O63"/>
  <sheetViews>
    <sheetView zoomScale="135" zoomScaleNormal="135" workbookViewId="0">
      <pane xSplit="1" ySplit="7" topLeftCell="B29" activePane="bottomRight" state="frozen"/>
      <selection pane="topRight" activeCell="B1" sqref="B1"/>
      <selection pane="bottomLeft" activeCell="A5" sqref="A5"/>
      <selection pane="bottomRight" activeCell="K37" sqref="K37:K42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40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K8" s="4"/>
    </row>
    <row r="9" spans="1:11" x14ac:dyDescent="0.2">
      <c r="A9" s="6"/>
      <c r="B9" s="9">
        <v>46262</v>
      </c>
      <c r="C9" s="9">
        <v>46513</v>
      </c>
      <c r="D9" s="6" t="s">
        <v>50</v>
      </c>
      <c r="E9" s="4">
        <v>2250</v>
      </c>
      <c r="F9" s="4"/>
      <c r="G9" s="4"/>
      <c r="K9" s="4"/>
    </row>
    <row r="10" spans="1:11" x14ac:dyDescent="0.2">
      <c r="A10" s="6"/>
      <c r="B10" s="9">
        <v>46240</v>
      </c>
      <c r="C10" s="9">
        <v>46483</v>
      </c>
      <c r="D10" s="6" t="s">
        <v>37</v>
      </c>
      <c r="E10" s="4">
        <v>1750</v>
      </c>
      <c r="F10" s="4"/>
      <c r="G10" s="4"/>
      <c r="K10" s="4"/>
    </row>
    <row r="11" spans="1:11" x14ac:dyDescent="0.2">
      <c r="A11" s="6"/>
      <c r="B11" s="9">
        <v>46247</v>
      </c>
      <c r="C11" s="9">
        <v>46446</v>
      </c>
      <c r="D11" s="6" t="s">
        <v>9</v>
      </c>
      <c r="E11" s="4">
        <v>4000</v>
      </c>
      <c r="F11" s="4"/>
      <c r="G11" s="4"/>
      <c r="K11" s="4"/>
    </row>
    <row r="12" spans="1:11" x14ac:dyDescent="0.2">
      <c r="A12" s="6"/>
      <c r="B12" s="9">
        <v>46218</v>
      </c>
      <c r="C12" s="9">
        <v>46397</v>
      </c>
      <c r="D12" s="6" t="s">
        <v>23</v>
      </c>
      <c r="E12" s="4">
        <v>10000</v>
      </c>
      <c r="F12" s="4"/>
      <c r="G12" s="4"/>
      <c r="K12" s="4"/>
    </row>
    <row r="13" spans="1:11" x14ac:dyDescent="0.2">
      <c r="A13" s="6"/>
      <c r="B13" s="9">
        <v>46232</v>
      </c>
      <c r="C13" s="9">
        <v>46373</v>
      </c>
      <c r="D13" s="6" t="s">
        <v>30</v>
      </c>
      <c r="E13" s="4">
        <v>3000</v>
      </c>
      <c r="F13" s="4"/>
      <c r="G13" s="4"/>
      <c r="K13" s="4"/>
    </row>
    <row r="14" spans="1:11" x14ac:dyDescent="0.2">
      <c r="A14" s="6"/>
      <c r="B14" s="9">
        <v>46240</v>
      </c>
      <c r="C14" s="9">
        <v>46372</v>
      </c>
      <c r="D14" s="6" t="s">
        <v>38</v>
      </c>
      <c r="E14" s="4">
        <v>5000</v>
      </c>
      <c r="F14" s="4"/>
      <c r="G14" s="4"/>
      <c r="K14" s="4"/>
    </row>
    <row r="15" spans="1:11" x14ac:dyDescent="0.2">
      <c r="A15" s="6"/>
      <c r="B15" s="9">
        <v>46206</v>
      </c>
      <c r="C15" s="9">
        <v>46367</v>
      </c>
      <c r="D15" s="6" t="s">
        <v>19</v>
      </c>
      <c r="E15" s="4">
        <v>6750</v>
      </c>
      <c r="F15" s="4"/>
      <c r="G15" s="4"/>
      <c r="K15" s="4"/>
    </row>
    <row r="16" spans="1:11" x14ac:dyDescent="0.2">
      <c r="A16" s="6"/>
      <c r="B16" s="9">
        <v>46200</v>
      </c>
      <c r="C16" s="9">
        <v>46345</v>
      </c>
      <c r="D16" s="6" t="s">
        <v>18</v>
      </c>
      <c r="E16" s="4">
        <v>7000</v>
      </c>
      <c r="F16" s="4"/>
      <c r="G16" s="4"/>
      <c r="K16" s="4"/>
    </row>
    <row r="17" spans="1:11" x14ac:dyDescent="0.2">
      <c r="A17" s="6"/>
      <c r="B17" s="9">
        <v>46231</v>
      </c>
      <c r="C17" s="9">
        <v>46327</v>
      </c>
      <c r="D17" s="6" t="s">
        <v>29</v>
      </c>
      <c r="E17" s="4">
        <v>1750</v>
      </c>
      <c r="F17" s="4"/>
      <c r="G17" s="4"/>
      <c r="K17" s="4"/>
    </row>
    <row r="18" spans="1:11" x14ac:dyDescent="0.2">
      <c r="A18" s="6"/>
      <c r="B18" s="9">
        <v>46162</v>
      </c>
      <c r="C18" s="9">
        <v>46326</v>
      </c>
      <c r="D18" s="6" t="s">
        <v>13</v>
      </c>
      <c r="E18" s="4">
        <v>6000</v>
      </c>
      <c r="F18" s="4"/>
      <c r="G18" s="4"/>
      <c r="K18" s="4"/>
    </row>
    <row r="19" spans="1:11" x14ac:dyDescent="0.2">
      <c r="A19" s="6"/>
      <c r="B19" s="9">
        <v>46232</v>
      </c>
      <c r="C19" s="9">
        <v>46318</v>
      </c>
      <c r="D19" s="6" t="s">
        <v>31</v>
      </c>
      <c r="E19" s="4">
        <v>5000</v>
      </c>
      <c r="F19" s="4"/>
      <c r="G19" s="4"/>
      <c r="K19" s="4"/>
    </row>
    <row r="20" spans="1:11" x14ac:dyDescent="0.2">
      <c r="A20" s="6"/>
      <c r="B20" s="9">
        <v>46264</v>
      </c>
      <c r="C20" s="9">
        <v>46318</v>
      </c>
      <c r="D20" s="6" t="s">
        <v>7</v>
      </c>
      <c r="E20" s="4">
        <v>996.58</v>
      </c>
      <c r="F20" s="4"/>
      <c r="G20" s="4"/>
      <c r="K20" s="4"/>
    </row>
    <row r="21" spans="1:11" x14ac:dyDescent="0.2">
      <c r="A21" s="6"/>
      <c r="B21" s="9">
        <v>46193</v>
      </c>
      <c r="C21" s="9">
        <v>46308</v>
      </c>
      <c r="D21" s="6" t="s">
        <v>15</v>
      </c>
      <c r="E21" s="4">
        <v>1750</v>
      </c>
      <c r="F21" s="4"/>
      <c r="G21" s="4"/>
      <c r="K21" s="4"/>
    </row>
    <row r="22" spans="1:11" x14ac:dyDescent="0.2">
      <c r="A22" s="6"/>
      <c r="B22" s="9">
        <v>46197</v>
      </c>
      <c r="C22" s="9">
        <v>46307</v>
      </c>
      <c r="D22" s="6" t="s">
        <v>16</v>
      </c>
      <c r="E22" s="4">
        <v>4000</v>
      </c>
      <c r="F22" s="4"/>
      <c r="G22" s="4"/>
      <c r="K22" s="4"/>
    </row>
    <row r="23" spans="1:11" x14ac:dyDescent="0.2">
      <c r="A23" s="6"/>
      <c r="B23" s="9">
        <v>46256</v>
      </c>
      <c r="C23" s="9">
        <v>46303</v>
      </c>
      <c r="D23" s="6" t="s">
        <v>45</v>
      </c>
      <c r="E23" s="4">
        <v>2250</v>
      </c>
      <c r="F23" s="4"/>
      <c r="G23" s="4"/>
      <c r="K23" s="4"/>
    </row>
    <row r="24" spans="1:11" x14ac:dyDescent="0.2">
      <c r="A24" s="6"/>
      <c r="B24" s="9">
        <v>46213</v>
      </c>
      <c r="C24" s="9">
        <v>46301</v>
      </c>
      <c r="D24" s="6" t="s">
        <v>21</v>
      </c>
      <c r="E24" s="4">
        <v>1750</v>
      </c>
      <c r="F24" s="4"/>
      <c r="G24" s="4"/>
      <c r="K24" s="4"/>
    </row>
    <row r="25" spans="1:11" x14ac:dyDescent="0.2">
      <c r="A25" s="6"/>
      <c r="B25" s="9">
        <v>46220</v>
      </c>
      <c r="C25" s="9">
        <v>46295</v>
      </c>
      <c r="D25" s="6" t="s">
        <v>7</v>
      </c>
      <c r="E25" s="4">
        <v>664.39</v>
      </c>
      <c r="F25" s="4"/>
      <c r="G25" s="4"/>
    </row>
    <row r="26" spans="1:11" x14ac:dyDescent="0.2">
      <c r="A26" s="6"/>
      <c r="B26" s="9">
        <v>46261</v>
      </c>
      <c r="C26" s="9">
        <v>46293</v>
      </c>
      <c r="D26" s="6" t="s">
        <v>47</v>
      </c>
      <c r="E26" s="4">
        <v>1875</v>
      </c>
      <c r="F26" s="4"/>
      <c r="G26" s="4"/>
    </row>
    <row r="27" spans="1:11" x14ac:dyDescent="0.2">
      <c r="A27" s="6"/>
      <c r="B27" s="9">
        <v>46156</v>
      </c>
      <c r="C27" s="9">
        <v>46288</v>
      </c>
      <c r="D27" s="6" t="s">
        <v>12</v>
      </c>
      <c r="E27" s="4">
        <v>550</v>
      </c>
      <c r="F27" s="4"/>
      <c r="G27" s="4"/>
    </row>
    <row r="28" spans="1:11" x14ac:dyDescent="0.2">
      <c r="A28" s="6"/>
      <c r="B28" s="9">
        <v>46253</v>
      </c>
      <c r="C28" s="9">
        <v>46280</v>
      </c>
      <c r="D28" s="6" t="s">
        <v>44</v>
      </c>
      <c r="E28" s="4">
        <v>4000</v>
      </c>
      <c r="F28" s="4"/>
      <c r="G28" s="4"/>
    </row>
    <row r="29" spans="1:11" x14ac:dyDescent="0.2">
      <c r="A29" s="6"/>
      <c r="B29" s="9">
        <v>46212</v>
      </c>
      <c r="C29" s="9">
        <v>46280</v>
      </c>
      <c r="D29" s="6" t="s">
        <v>15</v>
      </c>
      <c r="E29" s="4">
        <v>1750</v>
      </c>
      <c r="F29" s="4"/>
      <c r="G29" s="4"/>
    </row>
    <row r="30" spans="1:11" x14ac:dyDescent="0.2">
      <c r="A30" s="6"/>
      <c r="B30" s="9">
        <v>46262</v>
      </c>
      <c r="C30" s="9">
        <v>46279</v>
      </c>
      <c r="D30" s="6" t="s">
        <v>55</v>
      </c>
      <c r="E30" s="4">
        <v>1750</v>
      </c>
      <c r="F30" s="4"/>
      <c r="G30" s="4"/>
    </row>
    <row r="31" spans="1:11" x14ac:dyDescent="0.2">
      <c r="A31" s="6"/>
      <c r="B31" s="9">
        <v>46225</v>
      </c>
      <c r="C31" s="9">
        <v>46277</v>
      </c>
      <c r="D31" s="6" t="s">
        <v>27</v>
      </c>
      <c r="E31" s="4">
        <v>460</v>
      </c>
      <c r="F31" s="4"/>
      <c r="G31" s="4"/>
      <c r="H31" s="9">
        <v>46265</v>
      </c>
      <c r="I31" s="6" t="s">
        <v>57</v>
      </c>
      <c r="J31" s="5">
        <v>664.02</v>
      </c>
    </row>
    <row r="32" spans="1:11" x14ac:dyDescent="0.2">
      <c r="A32" s="6"/>
      <c r="B32" s="9">
        <v>46262</v>
      </c>
      <c r="C32" s="9">
        <v>46276</v>
      </c>
      <c r="D32" s="6" t="s">
        <v>54</v>
      </c>
      <c r="E32" s="4">
        <v>805</v>
      </c>
      <c r="F32" s="4"/>
      <c r="G32" s="4"/>
      <c r="H32" s="9">
        <v>46261</v>
      </c>
      <c r="I32" s="6" t="s">
        <v>48</v>
      </c>
      <c r="K32" s="5">
        <v>3624</v>
      </c>
    </row>
    <row r="33" spans="1:11" x14ac:dyDescent="0.2">
      <c r="A33" s="6"/>
      <c r="B33" s="9">
        <v>46262</v>
      </c>
      <c r="C33" s="9">
        <v>46275</v>
      </c>
      <c r="D33" s="6" t="s">
        <v>56</v>
      </c>
      <c r="E33" s="4">
        <v>2000</v>
      </c>
      <c r="F33" s="4"/>
      <c r="G33" s="4"/>
      <c r="H33" s="9">
        <v>46261</v>
      </c>
      <c r="I33" s="6" t="s">
        <v>49</v>
      </c>
      <c r="K33" s="5">
        <v>0.85</v>
      </c>
    </row>
    <row r="34" spans="1:11" x14ac:dyDescent="0.2">
      <c r="A34" s="6"/>
      <c r="B34" s="9">
        <v>46262</v>
      </c>
      <c r="C34" s="9">
        <v>46275</v>
      </c>
      <c r="D34" s="6" t="s">
        <v>7</v>
      </c>
      <c r="E34" s="4">
        <v>664.39</v>
      </c>
      <c r="F34" s="4"/>
      <c r="G34" s="4"/>
      <c r="H34" s="9">
        <v>46260</v>
      </c>
      <c r="I34" s="6" t="s">
        <v>35</v>
      </c>
      <c r="K34" s="5">
        <v>3580.56</v>
      </c>
    </row>
    <row r="35" spans="1:11" x14ac:dyDescent="0.2">
      <c r="A35" s="6"/>
      <c r="B35" s="9">
        <v>46262</v>
      </c>
      <c r="C35" s="9">
        <v>46271</v>
      </c>
      <c r="D35" s="6" t="s">
        <v>52</v>
      </c>
      <c r="E35" s="4">
        <v>450</v>
      </c>
      <c r="G35" s="4"/>
      <c r="H35" s="9">
        <v>46259</v>
      </c>
      <c r="I35" s="6" t="s">
        <v>25</v>
      </c>
      <c r="K35" s="5">
        <v>9967.35</v>
      </c>
    </row>
    <row r="36" spans="1:11" x14ac:dyDescent="0.2">
      <c r="A36" s="6"/>
      <c r="B36" s="9">
        <v>46262</v>
      </c>
      <c r="C36" s="9">
        <v>46270</v>
      </c>
      <c r="D36" s="6" t="s">
        <v>53</v>
      </c>
      <c r="E36" s="4">
        <v>805</v>
      </c>
      <c r="G36" s="4"/>
      <c r="H36" s="9">
        <v>46259</v>
      </c>
      <c r="I36" s="6" t="s">
        <v>39</v>
      </c>
      <c r="K36" s="5">
        <v>1557.22</v>
      </c>
    </row>
    <row r="37" spans="1:11" x14ac:dyDescent="0.2">
      <c r="A37" s="6"/>
      <c r="B37" s="9">
        <v>46262</v>
      </c>
      <c r="C37" s="9">
        <v>46270</v>
      </c>
      <c r="D37" s="6" t="s">
        <v>7</v>
      </c>
      <c r="E37" s="4">
        <f>414.85+16</f>
        <v>430.85</v>
      </c>
      <c r="G37" s="4"/>
      <c r="H37" s="9">
        <v>46255</v>
      </c>
      <c r="I37" s="6" t="s">
        <v>7</v>
      </c>
      <c r="K37" s="5">
        <f>421.11-430.85</f>
        <v>-9.7400000000000091</v>
      </c>
    </row>
    <row r="38" spans="1:11" x14ac:dyDescent="0.2">
      <c r="A38" s="6"/>
      <c r="B38" s="9">
        <v>46261</v>
      </c>
      <c r="C38" s="9">
        <v>46269</v>
      </c>
      <c r="D38" s="6" t="s">
        <v>7</v>
      </c>
      <c r="E38" s="4">
        <v>430.85</v>
      </c>
      <c r="G38" s="4"/>
      <c r="H38" s="9">
        <v>46248</v>
      </c>
      <c r="I38" s="6" t="s">
        <v>41</v>
      </c>
      <c r="K38" s="5">
        <f>3819.77-3886.2</f>
        <v>-66.429999999999836</v>
      </c>
    </row>
    <row r="39" spans="1:11" x14ac:dyDescent="0.2">
      <c r="A39" s="6"/>
      <c r="B39" s="9">
        <v>46263</v>
      </c>
      <c r="C39" s="9">
        <v>46269</v>
      </c>
      <c r="D39" s="6" t="s">
        <v>51</v>
      </c>
      <c r="E39" s="4">
        <v>863</v>
      </c>
      <c r="G39" s="4"/>
      <c r="H39" s="9">
        <v>46240</v>
      </c>
      <c r="I39" s="6" t="s">
        <v>20</v>
      </c>
      <c r="K39" s="5">
        <v>0.6</v>
      </c>
    </row>
    <row r="40" spans="1:11" x14ac:dyDescent="0.2">
      <c r="A40" s="6"/>
      <c r="B40" s="9">
        <v>46240</v>
      </c>
      <c r="C40" s="9">
        <v>46267</v>
      </c>
      <c r="D40" s="6" t="s">
        <v>36</v>
      </c>
      <c r="E40" s="4">
        <v>1500</v>
      </c>
      <c r="G40" s="4"/>
      <c r="H40" s="9">
        <v>46238</v>
      </c>
      <c r="I40" s="6" t="s">
        <v>22</v>
      </c>
      <c r="K40" s="5">
        <f>1900.32-1906.32+6.6</f>
        <v>0.59999999999999964</v>
      </c>
    </row>
    <row r="41" spans="1:11" x14ac:dyDescent="0.2">
      <c r="A41" s="6"/>
      <c r="B41" s="9">
        <v>46262</v>
      </c>
      <c r="C41" s="9">
        <v>46265</v>
      </c>
      <c r="D41" s="6" t="s">
        <v>57</v>
      </c>
      <c r="E41" s="2"/>
      <c r="F41" s="4">
        <v>315</v>
      </c>
      <c r="G41" s="4"/>
      <c r="H41" s="9">
        <v>46235</v>
      </c>
      <c r="I41" s="6" t="s">
        <v>28</v>
      </c>
      <c r="K41" s="5">
        <f>174.25-155.45</f>
        <v>18.800000000000011</v>
      </c>
    </row>
    <row r="42" spans="1:11" x14ac:dyDescent="0.2">
      <c r="A42" s="6"/>
      <c r="B42" s="9">
        <v>46262</v>
      </c>
      <c r="C42" s="9">
        <v>46264</v>
      </c>
      <c r="D42" s="6" t="s">
        <v>58</v>
      </c>
      <c r="E42" s="2"/>
      <c r="F42" s="4">
        <v>825</v>
      </c>
      <c r="G42" s="4"/>
      <c r="H42" s="9">
        <v>46236</v>
      </c>
      <c r="I42" s="2" t="s">
        <v>33</v>
      </c>
      <c r="K42" s="5">
        <f>1372.73-1445.33</f>
        <v>-72.599999999999909</v>
      </c>
    </row>
    <row r="43" spans="1:11" x14ac:dyDescent="0.2">
      <c r="A43" s="6"/>
      <c r="B43" s="9">
        <v>46261</v>
      </c>
      <c r="C43" s="9">
        <v>46263</v>
      </c>
      <c r="D43" s="2" t="s">
        <v>46</v>
      </c>
      <c r="F43" s="4">
        <v>900</v>
      </c>
      <c r="G43" s="4"/>
      <c r="K43" s="4"/>
    </row>
    <row r="44" spans="1:11" x14ac:dyDescent="0.2">
      <c r="A44" s="6"/>
      <c r="B44" s="9">
        <v>46261</v>
      </c>
      <c r="C44" s="9">
        <v>46263</v>
      </c>
      <c r="D44" s="2" t="s">
        <v>46</v>
      </c>
      <c r="F44" s="4">
        <v>327.24</v>
      </c>
      <c r="G44" s="4"/>
      <c r="K44" s="4"/>
    </row>
    <row r="45" spans="1:11" x14ac:dyDescent="0.2">
      <c r="A45" s="6"/>
      <c r="B45" s="9">
        <v>46261</v>
      </c>
      <c r="C45" s="9">
        <v>46262</v>
      </c>
      <c r="D45" s="2" t="s">
        <v>7</v>
      </c>
      <c r="E45" s="2"/>
      <c r="F45" s="4">
        <v>430.85</v>
      </c>
      <c r="G45" s="4"/>
      <c r="H45" s="9"/>
      <c r="K45" s="4"/>
    </row>
    <row r="46" spans="1:11" x14ac:dyDescent="0.2">
      <c r="A46" s="6"/>
      <c r="B46" s="9"/>
      <c r="C46" s="9"/>
      <c r="G46" s="4"/>
      <c r="H46" s="9"/>
      <c r="K46" s="4"/>
    </row>
    <row r="47" spans="1:11" x14ac:dyDescent="0.2">
      <c r="A47" s="6"/>
      <c r="B47" s="9"/>
      <c r="C47" s="9"/>
      <c r="G47" s="4"/>
      <c r="H47" s="9"/>
      <c r="K47" s="4"/>
    </row>
    <row r="48" spans="1:11" x14ac:dyDescent="0.2">
      <c r="A48" s="6"/>
      <c r="B48" s="9"/>
      <c r="C48" s="9"/>
      <c r="G48" s="4"/>
      <c r="H48" s="9"/>
      <c r="K48" s="4"/>
    </row>
    <row r="49" spans="1:15" s="6" customFormat="1" x14ac:dyDescent="0.2">
      <c r="B49" s="9"/>
      <c r="C49" s="9"/>
      <c r="G49" s="8"/>
    </row>
    <row r="50" spans="1:15" x14ac:dyDescent="0.2">
      <c r="B50" s="9"/>
      <c r="C50" s="9"/>
      <c r="E50" s="2"/>
    </row>
    <row r="51" spans="1:15" ht="13.5" thickBot="1" x14ac:dyDescent="0.25">
      <c r="A51" s="6"/>
      <c r="B51" s="9"/>
      <c r="C51" s="9"/>
      <c r="E51" s="14">
        <f>SUM(E7:E50)</f>
        <v>88245.060000000012</v>
      </c>
      <c r="F51" s="6"/>
      <c r="G51" s="6"/>
      <c r="H51" s="9"/>
      <c r="J51" s="14">
        <f>SUM(J8:J50)</f>
        <v>664.02</v>
      </c>
    </row>
    <row r="52" spans="1:15" ht="13.5" thickTop="1" x14ac:dyDescent="0.2">
      <c r="B52" s="9"/>
      <c r="C52" s="9"/>
      <c r="H52" s="9"/>
    </row>
    <row r="53" spans="1:15" x14ac:dyDescent="0.2">
      <c r="B53" s="9"/>
      <c r="C53" s="9"/>
      <c r="F53" s="10"/>
      <c r="G53" s="10"/>
      <c r="H53" s="9"/>
      <c r="L53" s="10"/>
      <c r="N53" s="10"/>
      <c r="O53" s="10"/>
    </row>
    <row r="54" spans="1:15" x14ac:dyDescent="0.2">
      <c r="B54" s="9"/>
      <c r="C54" s="9"/>
      <c r="H54" s="9"/>
    </row>
    <row r="55" spans="1:15" x14ac:dyDescent="0.2">
      <c r="B55" s="9"/>
      <c r="C55" s="9"/>
      <c r="E55" s="2"/>
      <c r="H55" s="9"/>
      <c r="J55" s="11"/>
    </row>
    <row r="56" spans="1:15" ht="15" x14ac:dyDescent="0.25">
      <c r="F56"/>
      <c r="G56"/>
      <c r="H56" s="9"/>
      <c r="J56" s="4"/>
    </row>
    <row r="57" spans="1:15" ht="15" x14ac:dyDescent="0.25">
      <c r="F57"/>
      <c r="G57"/>
      <c r="H57"/>
      <c r="I57"/>
      <c r="J57" s="12"/>
    </row>
    <row r="58" spans="1:15" ht="15" x14ac:dyDescent="0.25">
      <c r="F58"/>
      <c r="G58"/>
      <c r="H58"/>
      <c r="I58"/>
      <c r="J58"/>
    </row>
    <row r="59" spans="1:15" ht="15" x14ac:dyDescent="0.25">
      <c r="F59"/>
      <c r="G59"/>
      <c r="H59"/>
      <c r="I59"/>
      <c r="J59"/>
    </row>
    <row r="60" spans="1:15" s="4" customFormat="1" x14ac:dyDescent="0.2">
      <c r="A60" s="2"/>
      <c r="B60" s="2"/>
      <c r="C60" s="2"/>
      <c r="D60" s="2"/>
      <c r="F60" s="2"/>
      <c r="G60" s="2"/>
      <c r="H60" s="2"/>
      <c r="I60" s="2"/>
      <c r="J60" s="5"/>
      <c r="K60" s="2"/>
      <c r="L60" s="2"/>
      <c r="M60" s="2"/>
      <c r="N60" s="2"/>
      <c r="O60" s="2"/>
    </row>
    <row r="61" spans="1:15" x14ac:dyDescent="0.2">
      <c r="E61" s="10"/>
    </row>
    <row r="62" spans="1:15" x14ac:dyDescent="0.2">
      <c r="E62" s="2"/>
    </row>
    <row r="63" spans="1:15" x14ac:dyDescent="0.2">
      <c r="E63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E4745-CDB0-47A5-81FA-0C0F79D792A5}">
  <sheetPr>
    <pageSetUpPr fitToPage="1"/>
  </sheetPr>
  <dimension ref="A1:O53"/>
  <sheetViews>
    <sheetView zoomScale="135" zoomScaleNormal="135" workbookViewId="0">
      <pane xSplit="1" ySplit="7" topLeftCell="B20" activePane="bottomRight" state="frozen"/>
      <selection pane="topRight" activeCell="B1" sqref="B1"/>
      <selection pane="bottomLeft" activeCell="A5" sqref="A5"/>
      <selection pane="bottomRight" activeCell="A34" sqref="A34:XFD38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40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K8" s="4"/>
    </row>
    <row r="9" spans="1:11" x14ac:dyDescent="0.2">
      <c r="A9" s="6"/>
      <c r="B9" s="9">
        <v>46240</v>
      </c>
      <c r="C9" s="9">
        <v>46483</v>
      </c>
      <c r="D9" s="6" t="s">
        <v>37</v>
      </c>
      <c r="E9" s="4">
        <v>1750</v>
      </c>
      <c r="F9" s="4"/>
      <c r="G9" s="4"/>
      <c r="K9" s="4"/>
    </row>
    <row r="10" spans="1:11" x14ac:dyDescent="0.2">
      <c r="A10" s="6"/>
      <c r="B10" s="9">
        <v>46247</v>
      </c>
      <c r="C10" s="9">
        <v>46446</v>
      </c>
      <c r="D10" s="6" t="s">
        <v>9</v>
      </c>
      <c r="E10" s="4">
        <v>4000</v>
      </c>
      <c r="F10" s="4"/>
      <c r="G10" s="4"/>
      <c r="K10" s="4"/>
    </row>
    <row r="11" spans="1:11" x14ac:dyDescent="0.2">
      <c r="A11" s="6"/>
      <c r="B11" s="9">
        <v>46218</v>
      </c>
      <c r="C11" s="9">
        <v>46397</v>
      </c>
      <c r="D11" s="6" t="s">
        <v>23</v>
      </c>
      <c r="E11" s="4">
        <v>10000</v>
      </c>
      <c r="F11" s="4"/>
      <c r="G11" s="4"/>
      <c r="K11" s="4"/>
    </row>
    <row r="12" spans="1:11" x14ac:dyDescent="0.2">
      <c r="A12" s="6"/>
      <c r="B12" s="9">
        <v>46232</v>
      </c>
      <c r="C12" s="9">
        <v>46373</v>
      </c>
      <c r="D12" s="6" t="s">
        <v>30</v>
      </c>
      <c r="E12" s="4">
        <v>3000</v>
      </c>
      <c r="F12" s="4"/>
      <c r="G12" s="4"/>
      <c r="K12" s="4"/>
    </row>
    <row r="13" spans="1:11" x14ac:dyDescent="0.2">
      <c r="A13" s="6"/>
      <c r="B13" s="9">
        <v>46240</v>
      </c>
      <c r="C13" s="9">
        <v>46372</v>
      </c>
      <c r="D13" s="6" t="s">
        <v>38</v>
      </c>
      <c r="E13" s="4">
        <v>5000</v>
      </c>
      <c r="F13" s="4"/>
      <c r="G13" s="4"/>
      <c r="K13" s="4"/>
    </row>
    <row r="14" spans="1:11" x14ac:dyDescent="0.2">
      <c r="A14" s="6"/>
      <c r="B14" s="9">
        <v>46206</v>
      </c>
      <c r="C14" s="9">
        <v>46367</v>
      </c>
      <c r="D14" s="6" t="s">
        <v>19</v>
      </c>
      <c r="E14" s="4">
        <v>6750</v>
      </c>
      <c r="F14" s="4"/>
      <c r="G14" s="4"/>
      <c r="K14" s="4"/>
    </row>
    <row r="15" spans="1:11" x14ac:dyDescent="0.2">
      <c r="A15" s="6"/>
      <c r="B15" s="9">
        <v>46200</v>
      </c>
      <c r="C15" s="9">
        <v>46345</v>
      </c>
      <c r="D15" s="6" t="s">
        <v>18</v>
      </c>
      <c r="E15" s="4">
        <v>7000</v>
      </c>
      <c r="F15" s="4"/>
      <c r="G15" s="4"/>
      <c r="K15" s="4"/>
    </row>
    <row r="16" spans="1:11" x14ac:dyDescent="0.2">
      <c r="A16" s="6"/>
      <c r="B16" s="9">
        <v>46231</v>
      </c>
      <c r="C16" s="9">
        <v>46327</v>
      </c>
      <c r="D16" s="6" t="s">
        <v>29</v>
      </c>
      <c r="E16" s="4">
        <v>1750</v>
      </c>
      <c r="F16" s="4"/>
      <c r="G16" s="4"/>
      <c r="K16" s="4"/>
    </row>
    <row r="17" spans="1:11" x14ac:dyDescent="0.2">
      <c r="A17" s="6"/>
      <c r="B17" s="9">
        <v>46162</v>
      </c>
      <c r="C17" s="9">
        <v>46326</v>
      </c>
      <c r="D17" s="6" t="s">
        <v>13</v>
      </c>
      <c r="E17" s="4">
        <v>6000</v>
      </c>
      <c r="F17" s="4"/>
      <c r="G17" s="4"/>
      <c r="K17" s="4"/>
    </row>
    <row r="18" spans="1:11" x14ac:dyDescent="0.2">
      <c r="A18" s="6"/>
      <c r="B18" s="9">
        <v>46232</v>
      </c>
      <c r="C18" s="9">
        <v>46318</v>
      </c>
      <c r="D18" s="6" t="s">
        <v>31</v>
      </c>
      <c r="E18" s="4">
        <v>5000</v>
      </c>
      <c r="F18" s="4"/>
      <c r="G18" s="4"/>
      <c r="K18" s="4"/>
    </row>
    <row r="19" spans="1:11" x14ac:dyDescent="0.2">
      <c r="A19" s="6"/>
      <c r="B19" s="9">
        <v>46193</v>
      </c>
      <c r="C19" s="9">
        <v>46308</v>
      </c>
      <c r="D19" s="6" t="s">
        <v>15</v>
      </c>
      <c r="E19" s="4">
        <v>1750</v>
      </c>
      <c r="F19" s="4"/>
      <c r="G19" s="4"/>
      <c r="K19" s="4"/>
    </row>
    <row r="20" spans="1:11" x14ac:dyDescent="0.2">
      <c r="A20" s="6"/>
      <c r="B20" s="9">
        <v>46197</v>
      </c>
      <c r="C20" s="9">
        <v>46307</v>
      </c>
      <c r="D20" s="6" t="s">
        <v>16</v>
      </c>
      <c r="E20" s="4">
        <v>4000</v>
      </c>
      <c r="F20" s="4"/>
      <c r="G20" s="4"/>
      <c r="K20" s="4"/>
    </row>
    <row r="21" spans="1:11" x14ac:dyDescent="0.2">
      <c r="A21" s="6"/>
      <c r="B21" s="9">
        <v>46256</v>
      </c>
      <c r="C21" s="9">
        <v>46303</v>
      </c>
      <c r="D21" s="6" t="s">
        <v>45</v>
      </c>
      <c r="E21" s="4">
        <v>2250</v>
      </c>
      <c r="F21" s="4"/>
      <c r="G21" s="4"/>
      <c r="K21" s="4"/>
    </row>
    <row r="22" spans="1:11" x14ac:dyDescent="0.2">
      <c r="A22" s="6"/>
      <c r="B22" s="9">
        <v>46213</v>
      </c>
      <c r="C22" s="9">
        <v>46301</v>
      </c>
      <c r="D22" s="6" t="s">
        <v>21</v>
      </c>
      <c r="E22" s="4">
        <v>1750</v>
      </c>
      <c r="F22" s="4"/>
      <c r="G22" s="4"/>
      <c r="K22" s="4"/>
    </row>
    <row r="23" spans="1:11" x14ac:dyDescent="0.2">
      <c r="A23" s="6"/>
      <c r="B23" s="9">
        <v>46220</v>
      </c>
      <c r="C23" s="9">
        <v>46295</v>
      </c>
      <c r="D23" s="6" t="s">
        <v>7</v>
      </c>
      <c r="E23" s="4">
        <v>664.39</v>
      </c>
      <c r="F23" s="4"/>
      <c r="G23" s="4"/>
      <c r="H23" s="9">
        <v>46261</v>
      </c>
      <c r="I23" s="6" t="s">
        <v>48</v>
      </c>
      <c r="J23" s="5">
        <v>3624</v>
      </c>
      <c r="K23" s="4"/>
    </row>
    <row r="24" spans="1:11" x14ac:dyDescent="0.2">
      <c r="A24" s="6"/>
      <c r="B24" s="9">
        <v>46261</v>
      </c>
      <c r="C24" s="9">
        <v>46293</v>
      </c>
      <c r="D24" s="6" t="s">
        <v>47</v>
      </c>
      <c r="E24" s="4">
        <v>1875</v>
      </c>
      <c r="F24" s="4"/>
      <c r="G24" s="4"/>
      <c r="H24" s="9">
        <v>46261</v>
      </c>
      <c r="I24" s="6" t="s">
        <v>49</v>
      </c>
      <c r="J24" s="5">
        <v>0.85</v>
      </c>
      <c r="K24" s="4"/>
    </row>
    <row r="25" spans="1:11" x14ac:dyDescent="0.2">
      <c r="A25" s="6"/>
      <c r="B25" s="9">
        <v>46156</v>
      </c>
      <c r="C25" s="9">
        <v>46288</v>
      </c>
      <c r="D25" s="6" t="s">
        <v>12</v>
      </c>
      <c r="E25" s="4">
        <v>550</v>
      </c>
      <c r="F25" s="4"/>
      <c r="G25" s="4"/>
      <c r="H25" s="9">
        <v>46260</v>
      </c>
      <c r="I25" s="6" t="s">
        <v>35</v>
      </c>
      <c r="J25" s="5">
        <v>3580.56</v>
      </c>
    </row>
    <row r="26" spans="1:11" x14ac:dyDescent="0.2">
      <c r="A26" s="6"/>
      <c r="B26" s="9">
        <v>46253</v>
      </c>
      <c r="C26" s="9">
        <v>46280</v>
      </c>
      <c r="D26" s="6" t="s">
        <v>44</v>
      </c>
      <c r="E26" s="4">
        <v>4000</v>
      </c>
      <c r="F26" s="4"/>
      <c r="G26" s="4"/>
      <c r="H26" s="9">
        <v>46259</v>
      </c>
      <c r="I26" s="6" t="s">
        <v>25</v>
      </c>
      <c r="J26" s="5">
        <v>9967.35</v>
      </c>
    </row>
    <row r="27" spans="1:11" x14ac:dyDescent="0.2">
      <c r="A27" s="6"/>
      <c r="B27" s="9">
        <v>46212</v>
      </c>
      <c r="C27" s="9">
        <v>46280</v>
      </c>
      <c r="D27" s="6" t="s">
        <v>15</v>
      </c>
      <c r="E27" s="4">
        <v>1750</v>
      </c>
      <c r="F27" s="4"/>
      <c r="G27" s="4"/>
      <c r="H27" s="9">
        <v>46259</v>
      </c>
      <c r="I27" s="6" t="s">
        <v>39</v>
      </c>
      <c r="J27" s="5">
        <v>1557.22</v>
      </c>
    </row>
    <row r="28" spans="1:11" x14ac:dyDescent="0.2">
      <c r="A28" s="6"/>
      <c r="B28" s="9">
        <v>46225</v>
      </c>
      <c r="C28" s="9">
        <v>46277</v>
      </c>
      <c r="D28" s="6" t="s">
        <v>27</v>
      </c>
      <c r="E28" s="4">
        <v>460</v>
      </c>
      <c r="F28" s="4"/>
      <c r="G28" s="4"/>
      <c r="H28" s="9">
        <v>46255</v>
      </c>
      <c r="I28" s="6" t="s">
        <v>7</v>
      </c>
      <c r="J28" s="5">
        <f>421.11-430.85</f>
        <v>-9.7400000000000091</v>
      </c>
      <c r="K28" s="4"/>
    </row>
    <row r="29" spans="1:11" x14ac:dyDescent="0.2">
      <c r="A29" s="6"/>
      <c r="B29" s="9">
        <v>46261</v>
      </c>
      <c r="C29" s="9">
        <v>46269</v>
      </c>
      <c r="D29" s="6" t="s">
        <v>7</v>
      </c>
      <c r="E29" s="4">
        <v>430.85</v>
      </c>
      <c r="F29" s="4"/>
      <c r="G29" s="4"/>
      <c r="H29" s="9">
        <v>46248</v>
      </c>
      <c r="I29" s="6" t="s">
        <v>41</v>
      </c>
      <c r="J29" s="5">
        <f>3819.77-3886.2</f>
        <v>-66.429999999999836</v>
      </c>
      <c r="K29" s="4"/>
    </row>
    <row r="30" spans="1:11" x14ac:dyDescent="0.2">
      <c r="A30" s="6"/>
      <c r="B30" s="9">
        <v>46240</v>
      </c>
      <c r="C30" s="9">
        <v>46267</v>
      </c>
      <c r="D30" s="6" t="s">
        <v>36</v>
      </c>
      <c r="E30" s="4">
        <v>1500</v>
      </c>
      <c r="F30" s="4"/>
      <c r="G30" s="4"/>
      <c r="H30" s="9">
        <v>46240</v>
      </c>
      <c r="I30" s="6" t="s">
        <v>20</v>
      </c>
      <c r="J30" s="5">
        <v>0.6</v>
      </c>
      <c r="K30" s="5"/>
    </row>
    <row r="31" spans="1:11" x14ac:dyDescent="0.2">
      <c r="A31" s="6"/>
      <c r="B31" s="9">
        <v>46261</v>
      </c>
      <c r="C31" s="9">
        <v>46263</v>
      </c>
      <c r="D31" s="2" t="s">
        <v>46</v>
      </c>
      <c r="E31" s="4">
        <v>900</v>
      </c>
      <c r="G31" s="4"/>
      <c r="H31" s="9">
        <v>46238</v>
      </c>
      <c r="I31" s="6" t="s">
        <v>22</v>
      </c>
      <c r="J31" s="5">
        <f>1900.32-1906.32+6.6</f>
        <v>0.59999999999999964</v>
      </c>
    </row>
    <row r="32" spans="1:11" x14ac:dyDescent="0.2">
      <c r="A32" s="6"/>
      <c r="B32" s="9">
        <v>46261</v>
      </c>
      <c r="C32" s="9">
        <v>46263</v>
      </c>
      <c r="D32" s="2" t="s">
        <v>46</v>
      </c>
      <c r="E32" s="4">
        <v>327.24</v>
      </c>
      <c r="G32" s="4"/>
      <c r="H32" s="9">
        <v>46235</v>
      </c>
      <c r="I32" s="6" t="s">
        <v>28</v>
      </c>
      <c r="J32" s="5">
        <f>174.25-155.45</f>
        <v>18.800000000000011</v>
      </c>
      <c r="K32" s="4"/>
    </row>
    <row r="33" spans="1:15" x14ac:dyDescent="0.2">
      <c r="A33" s="6"/>
      <c r="B33" s="9">
        <v>46261</v>
      </c>
      <c r="C33" s="9">
        <v>46262</v>
      </c>
      <c r="D33" s="2" t="s">
        <v>7</v>
      </c>
      <c r="E33" s="4">
        <v>430.85</v>
      </c>
      <c r="G33" s="4"/>
      <c r="H33" s="9">
        <v>46236</v>
      </c>
      <c r="I33" s="2" t="s">
        <v>33</v>
      </c>
      <c r="J33" s="5">
        <f>1372.73-1445.33</f>
        <v>-72.599999999999909</v>
      </c>
      <c r="K33" s="4"/>
    </row>
    <row r="34" spans="1:15" x14ac:dyDescent="0.2">
      <c r="A34" s="6"/>
      <c r="B34" s="9"/>
      <c r="C34" s="9"/>
      <c r="G34" s="4"/>
      <c r="H34" s="9"/>
      <c r="K34" s="4"/>
    </row>
    <row r="35" spans="1:15" x14ac:dyDescent="0.2">
      <c r="A35" s="6"/>
      <c r="B35" s="9"/>
      <c r="C35" s="9"/>
      <c r="G35" s="4"/>
      <c r="H35" s="9"/>
      <c r="K35" s="4"/>
    </row>
    <row r="36" spans="1:15" x14ac:dyDescent="0.2">
      <c r="A36" s="6"/>
      <c r="B36" s="9"/>
      <c r="C36" s="9"/>
      <c r="G36" s="4"/>
      <c r="H36" s="9"/>
      <c r="K36" s="4"/>
    </row>
    <row r="37" spans="1:15" x14ac:dyDescent="0.2">
      <c r="A37" s="6"/>
      <c r="B37" s="9"/>
      <c r="C37" s="9"/>
      <c r="G37" s="4"/>
      <c r="H37" s="9"/>
      <c r="K37" s="4"/>
    </row>
    <row r="38" spans="1:15" x14ac:dyDescent="0.2">
      <c r="A38" s="6"/>
      <c r="B38" s="9"/>
      <c r="C38" s="9"/>
      <c r="G38" s="4"/>
      <c r="H38" s="9"/>
      <c r="K38" s="4"/>
    </row>
    <row r="39" spans="1:15" s="6" customFormat="1" x14ac:dyDescent="0.2">
      <c r="B39" s="9"/>
      <c r="C39" s="9"/>
      <c r="G39" s="8"/>
    </row>
    <row r="40" spans="1:15" x14ac:dyDescent="0.2">
      <c r="B40" s="9"/>
      <c r="C40" s="9"/>
      <c r="E40" s="2"/>
    </row>
    <row r="41" spans="1:15" ht="13.5" thickBot="1" x14ac:dyDescent="0.25">
      <c r="A41" s="6"/>
      <c r="B41" s="9"/>
      <c r="C41" s="9"/>
      <c r="E41" s="14">
        <f>SUM(E7:E33)</f>
        <v>78888.330000000016</v>
      </c>
      <c r="F41" s="6"/>
      <c r="G41" s="6"/>
      <c r="H41" s="9"/>
      <c r="J41" s="14">
        <f>SUM(J8:J40)</f>
        <v>18601.21</v>
      </c>
    </row>
    <row r="42" spans="1:15" ht="13.5" thickTop="1" x14ac:dyDescent="0.2">
      <c r="B42" s="9"/>
      <c r="C42" s="9"/>
      <c r="H42" s="9"/>
    </row>
    <row r="43" spans="1:15" x14ac:dyDescent="0.2">
      <c r="B43" s="9"/>
      <c r="C43" s="9"/>
      <c r="F43" s="10"/>
      <c r="G43" s="10"/>
      <c r="H43" s="9"/>
      <c r="L43" s="10"/>
      <c r="N43" s="10"/>
      <c r="O43" s="10"/>
    </row>
    <row r="44" spans="1:15" x14ac:dyDescent="0.2">
      <c r="B44" s="9"/>
      <c r="C44" s="9"/>
      <c r="H44" s="9"/>
    </row>
    <row r="45" spans="1:15" x14ac:dyDescent="0.2">
      <c r="B45" s="9"/>
      <c r="C45" s="9"/>
      <c r="E45" s="2"/>
      <c r="H45" s="9"/>
      <c r="J45" s="11"/>
    </row>
    <row r="46" spans="1:15" ht="15" x14ac:dyDescent="0.25">
      <c r="F46"/>
      <c r="G46"/>
      <c r="H46" s="9"/>
      <c r="J46" s="4"/>
    </row>
    <row r="47" spans="1:15" ht="15" x14ac:dyDescent="0.25">
      <c r="F47"/>
      <c r="G47"/>
      <c r="H47"/>
      <c r="I47"/>
      <c r="J47" s="12"/>
    </row>
    <row r="48" spans="1:15" ht="15" x14ac:dyDescent="0.25">
      <c r="F48"/>
      <c r="G48"/>
      <c r="H48"/>
      <c r="I48"/>
      <c r="J48"/>
    </row>
    <row r="49" spans="1:15" ht="15" x14ac:dyDescent="0.25">
      <c r="F49"/>
      <c r="G49"/>
      <c r="H49"/>
      <c r="I49"/>
      <c r="J49"/>
    </row>
    <row r="50" spans="1:15" s="4" customFormat="1" x14ac:dyDescent="0.2">
      <c r="A50" s="2"/>
      <c r="B50" s="2"/>
      <c r="C50" s="2"/>
      <c r="D50" s="2"/>
      <c r="F50" s="2"/>
      <c r="G50" s="2"/>
      <c r="H50" s="2"/>
      <c r="I50" s="2"/>
      <c r="J50" s="5"/>
      <c r="K50" s="2"/>
      <c r="L50" s="2"/>
      <c r="M50" s="2"/>
      <c r="N50" s="2"/>
      <c r="O50" s="2"/>
    </row>
    <row r="51" spans="1:15" x14ac:dyDescent="0.2">
      <c r="E51" s="10"/>
    </row>
    <row r="52" spans="1:15" x14ac:dyDescent="0.2">
      <c r="E52" s="2"/>
    </row>
    <row r="53" spans="1:15" x14ac:dyDescent="0.2">
      <c r="E53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C2B57-4910-4DD5-BE0B-924EA91B342E}">
  <sheetPr>
    <pageSetUpPr fitToPage="1"/>
  </sheetPr>
  <dimension ref="A1:O57"/>
  <sheetViews>
    <sheetView zoomScale="135" zoomScaleNormal="135" workbookViewId="0">
      <pane xSplit="1" ySplit="7" topLeftCell="B24" activePane="bottomRight" state="frozen"/>
      <selection pane="topRight" activeCell="B1" sqref="B1"/>
      <selection pane="bottomLeft" activeCell="A5" sqref="A5"/>
      <selection pane="bottomRight" activeCell="I27" sqref="I27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40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K8" s="4"/>
    </row>
    <row r="9" spans="1:11" x14ac:dyDescent="0.2">
      <c r="A9" s="6"/>
      <c r="B9" s="9">
        <v>46240</v>
      </c>
      <c r="C9" s="9">
        <v>46483</v>
      </c>
      <c r="D9" s="6" t="s">
        <v>37</v>
      </c>
      <c r="E9" s="4">
        <v>1750</v>
      </c>
      <c r="F9" s="4"/>
      <c r="G9" s="4"/>
      <c r="K9" s="4"/>
    </row>
    <row r="10" spans="1:11" x14ac:dyDescent="0.2">
      <c r="A10" s="6"/>
      <c r="B10" s="9">
        <v>46247</v>
      </c>
      <c r="C10" s="9">
        <v>46446</v>
      </c>
      <c r="D10" s="6" t="s">
        <v>9</v>
      </c>
      <c r="E10" s="4">
        <v>4000</v>
      </c>
      <c r="F10" s="4"/>
      <c r="G10" s="4"/>
      <c r="K10" s="4"/>
    </row>
    <row r="11" spans="1:11" x14ac:dyDescent="0.2">
      <c r="A11" s="6"/>
      <c r="B11" s="9">
        <v>46218</v>
      </c>
      <c r="C11" s="9">
        <v>46397</v>
      </c>
      <c r="D11" s="6" t="s">
        <v>23</v>
      </c>
      <c r="E11" s="4">
        <v>10000</v>
      </c>
      <c r="F11" s="4"/>
      <c r="G11" s="4"/>
      <c r="K11" s="4"/>
    </row>
    <row r="12" spans="1:11" x14ac:dyDescent="0.2">
      <c r="A12" s="6"/>
      <c r="B12" s="9">
        <v>46232</v>
      </c>
      <c r="C12" s="9">
        <v>46373</v>
      </c>
      <c r="D12" s="6" t="s">
        <v>30</v>
      </c>
      <c r="E12" s="4">
        <v>3000</v>
      </c>
      <c r="F12" s="4"/>
      <c r="G12" s="4"/>
      <c r="K12" s="4"/>
    </row>
    <row r="13" spans="1:11" x14ac:dyDescent="0.2">
      <c r="A13" s="6"/>
      <c r="B13" s="9">
        <v>46240</v>
      </c>
      <c r="C13" s="9">
        <v>46372</v>
      </c>
      <c r="D13" s="6" t="s">
        <v>38</v>
      </c>
      <c r="E13" s="4">
        <v>5000</v>
      </c>
      <c r="F13" s="4"/>
      <c r="G13" s="4"/>
      <c r="K13" s="4"/>
    </row>
    <row r="14" spans="1:11" x14ac:dyDescent="0.2">
      <c r="A14" s="6"/>
      <c r="B14" s="9">
        <v>46206</v>
      </c>
      <c r="C14" s="9">
        <v>46367</v>
      </c>
      <c r="D14" s="6" t="s">
        <v>19</v>
      </c>
      <c r="E14" s="4">
        <v>6750</v>
      </c>
      <c r="F14" s="4"/>
      <c r="G14" s="4"/>
      <c r="K14" s="4"/>
    </row>
    <row r="15" spans="1:11" x14ac:dyDescent="0.2">
      <c r="A15" s="6"/>
      <c r="B15" s="9">
        <v>46200</v>
      </c>
      <c r="C15" s="9">
        <v>46345</v>
      </c>
      <c r="D15" s="6" t="s">
        <v>18</v>
      </c>
      <c r="E15" s="4">
        <v>7000</v>
      </c>
      <c r="F15" s="4"/>
      <c r="G15" s="4"/>
      <c r="K15" s="4"/>
    </row>
    <row r="16" spans="1:11" x14ac:dyDescent="0.2">
      <c r="A16" s="6"/>
      <c r="B16" s="9">
        <v>46231</v>
      </c>
      <c r="C16" s="9">
        <v>46327</v>
      </c>
      <c r="D16" s="6" t="s">
        <v>29</v>
      </c>
      <c r="E16" s="4">
        <v>1750</v>
      </c>
      <c r="F16" s="4"/>
      <c r="G16" s="4"/>
      <c r="K16" s="4"/>
    </row>
    <row r="17" spans="1:11" x14ac:dyDescent="0.2">
      <c r="A17" s="6"/>
      <c r="B17" s="9">
        <v>46162</v>
      </c>
      <c r="C17" s="9">
        <v>46326</v>
      </c>
      <c r="D17" s="6" t="s">
        <v>13</v>
      </c>
      <c r="E17" s="4">
        <v>6000</v>
      </c>
      <c r="F17" s="4"/>
      <c r="G17" s="4"/>
      <c r="K17" s="4"/>
    </row>
    <row r="18" spans="1:11" x14ac:dyDescent="0.2">
      <c r="A18" s="6"/>
      <c r="B18" s="9">
        <v>46232</v>
      </c>
      <c r="C18" s="9">
        <v>46318</v>
      </c>
      <c r="D18" s="6" t="s">
        <v>31</v>
      </c>
      <c r="E18" s="4">
        <v>5000</v>
      </c>
      <c r="F18" s="4"/>
      <c r="G18" s="4"/>
      <c r="K18" s="4"/>
    </row>
    <row r="19" spans="1:11" x14ac:dyDescent="0.2">
      <c r="A19" s="6"/>
      <c r="B19" s="9">
        <v>46193</v>
      </c>
      <c r="C19" s="9">
        <v>46308</v>
      </c>
      <c r="D19" s="6" t="s">
        <v>15</v>
      </c>
      <c r="E19" s="4">
        <v>1750</v>
      </c>
      <c r="F19" s="4"/>
      <c r="G19" s="4"/>
      <c r="K19" s="4"/>
    </row>
    <row r="20" spans="1:11" x14ac:dyDescent="0.2">
      <c r="A20" s="6"/>
      <c r="B20" s="9">
        <v>46197</v>
      </c>
      <c r="C20" s="9">
        <v>46307</v>
      </c>
      <c r="D20" s="6" t="s">
        <v>16</v>
      </c>
      <c r="E20" s="4">
        <v>4000</v>
      </c>
      <c r="F20" s="4"/>
      <c r="G20" s="4"/>
      <c r="K20" s="4"/>
    </row>
    <row r="21" spans="1:11" x14ac:dyDescent="0.2">
      <c r="A21" s="6"/>
      <c r="B21" s="9">
        <v>46256</v>
      </c>
      <c r="C21" s="9">
        <v>46303</v>
      </c>
      <c r="D21" s="6" t="s">
        <v>45</v>
      </c>
      <c r="E21" s="4">
        <v>2250</v>
      </c>
      <c r="F21" s="4"/>
      <c r="G21" s="4"/>
      <c r="K21" s="4"/>
    </row>
    <row r="22" spans="1:11" x14ac:dyDescent="0.2">
      <c r="A22" s="6"/>
      <c r="B22" s="9">
        <v>46213</v>
      </c>
      <c r="C22" s="9">
        <v>46301</v>
      </c>
      <c r="D22" s="6" t="s">
        <v>21</v>
      </c>
      <c r="E22" s="4">
        <v>1750</v>
      </c>
      <c r="F22" s="4"/>
      <c r="G22" s="4"/>
      <c r="K22" s="4"/>
    </row>
    <row r="23" spans="1:11" x14ac:dyDescent="0.2">
      <c r="A23" s="6"/>
      <c r="B23" s="9">
        <v>46220</v>
      </c>
      <c r="C23" s="9">
        <v>46295</v>
      </c>
      <c r="D23" s="6" t="s">
        <v>7</v>
      </c>
      <c r="E23" s="4">
        <v>664.39</v>
      </c>
      <c r="F23" s="4"/>
      <c r="G23" s="4"/>
      <c r="K23" s="4"/>
    </row>
    <row r="24" spans="1:11" x14ac:dyDescent="0.2">
      <c r="A24" s="6"/>
      <c r="B24" s="9">
        <v>46156</v>
      </c>
      <c r="C24" s="9">
        <v>46288</v>
      </c>
      <c r="D24" s="6" t="s">
        <v>12</v>
      </c>
      <c r="E24" s="4">
        <v>550</v>
      </c>
      <c r="F24" s="4"/>
      <c r="G24" s="4"/>
      <c r="K24" s="4"/>
    </row>
    <row r="25" spans="1:11" x14ac:dyDescent="0.2">
      <c r="A25" s="6"/>
      <c r="B25" s="9">
        <v>46253</v>
      </c>
      <c r="C25" s="9">
        <v>46280</v>
      </c>
      <c r="D25" s="6" t="s">
        <v>44</v>
      </c>
      <c r="E25" s="4">
        <v>4000</v>
      </c>
      <c r="F25" s="4"/>
      <c r="G25" s="4"/>
      <c r="K25" s="4"/>
    </row>
    <row r="26" spans="1:11" x14ac:dyDescent="0.2">
      <c r="A26" s="6"/>
      <c r="B26" s="9">
        <v>46212</v>
      </c>
      <c r="C26" s="9">
        <v>46280</v>
      </c>
      <c r="D26" s="6" t="s">
        <v>15</v>
      </c>
      <c r="E26" s="4">
        <v>1750</v>
      </c>
      <c r="F26" s="4"/>
      <c r="G26" s="4"/>
      <c r="K26" s="4"/>
    </row>
    <row r="27" spans="1:11" x14ac:dyDescent="0.2">
      <c r="A27" s="6"/>
      <c r="B27" s="9">
        <v>46225</v>
      </c>
      <c r="C27" s="9">
        <v>46277</v>
      </c>
      <c r="D27" s="6" t="s">
        <v>27</v>
      </c>
      <c r="E27" s="4">
        <v>460</v>
      </c>
      <c r="F27" s="4"/>
      <c r="G27" s="4"/>
      <c r="H27" s="9">
        <v>46256</v>
      </c>
      <c r="I27" s="6" t="s">
        <v>42</v>
      </c>
      <c r="J27" s="5">
        <v>1049.23</v>
      </c>
      <c r="K27" s="4"/>
    </row>
    <row r="28" spans="1:11" x14ac:dyDescent="0.2">
      <c r="A28" s="6"/>
      <c r="B28" s="9">
        <v>46240</v>
      </c>
      <c r="C28" s="9">
        <v>46267</v>
      </c>
      <c r="D28" s="6" t="s">
        <v>36</v>
      </c>
      <c r="E28" s="4">
        <v>1500</v>
      </c>
      <c r="F28" s="4"/>
      <c r="G28" s="4"/>
      <c r="H28" s="9">
        <v>46255</v>
      </c>
      <c r="I28" s="6" t="s">
        <v>7</v>
      </c>
      <c r="J28" s="5">
        <f>421.11-430.85</f>
        <v>-9.7400000000000091</v>
      </c>
      <c r="K28" s="4"/>
    </row>
    <row r="29" spans="1:11" x14ac:dyDescent="0.2">
      <c r="A29" s="6"/>
      <c r="B29" s="9">
        <v>46224</v>
      </c>
      <c r="C29" s="9">
        <v>46261</v>
      </c>
      <c r="D29" s="6" t="s">
        <v>24</v>
      </c>
      <c r="E29" s="4">
        <v>2000</v>
      </c>
      <c r="F29" s="4"/>
      <c r="G29" s="4"/>
      <c r="H29" s="9">
        <v>46248</v>
      </c>
      <c r="I29" s="6" t="s">
        <v>41</v>
      </c>
      <c r="J29" s="5">
        <f>3819.77-3886.2</f>
        <v>-66.429999999999836</v>
      </c>
      <c r="K29" s="4"/>
    </row>
    <row r="30" spans="1:11" x14ac:dyDescent="0.2">
      <c r="A30" s="6"/>
      <c r="B30" s="9">
        <v>46248</v>
      </c>
      <c r="C30" s="9">
        <v>46261</v>
      </c>
      <c r="D30" s="6" t="s">
        <v>7</v>
      </c>
      <c r="E30" s="4">
        <f>664.39+664.39</f>
        <v>1328.78</v>
      </c>
      <c r="F30" s="4"/>
      <c r="G30" s="4"/>
      <c r="H30" s="9">
        <v>46248</v>
      </c>
      <c r="I30" s="6" t="s">
        <v>41</v>
      </c>
      <c r="K30" s="5">
        <v>879.52</v>
      </c>
    </row>
    <row r="31" spans="1:11" x14ac:dyDescent="0.2">
      <c r="A31" s="6"/>
      <c r="B31" s="9">
        <v>46233</v>
      </c>
      <c r="C31" s="9">
        <v>46260</v>
      </c>
      <c r="D31" s="6" t="s">
        <v>35</v>
      </c>
      <c r="E31" s="4">
        <v>1875</v>
      </c>
      <c r="F31" s="4"/>
      <c r="G31" s="4"/>
      <c r="H31" s="9">
        <v>46240</v>
      </c>
      <c r="I31" s="6" t="s">
        <v>20</v>
      </c>
      <c r="J31" s="5">
        <v>0.6</v>
      </c>
      <c r="K31" s="5"/>
    </row>
    <row r="32" spans="1:11" x14ac:dyDescent="0.2">
      <c r="A32" s="6"/>
      <c r="B32" s="9">
        <v>46225</v>
      </c>
      <c r="C32" s="9">
        <v>46259</v>
      </c>
      <c r="D32" s="6" t="s">
        <v>25</v>
      </c>
      <c r="E32" s="4">
        <v>1750</v>
      </c>
      <c r="F32" s="4"/>
      <c r="G32" s="4"/>
      <c r="H32" s="9">
        <v>46238</v>
      </c>
      <c r="I32" s="6" t="s">
        <v>22</v>
      </c>
      <c r="J32" s="5">
        <f>1900.32-1906.32+6.6</f>
        <v>0.59999999999999964</v>
      </c>
    </row>
    <row r="33" spans="1:15" x14ac:dyDescent="0.2">
      <c r="A33" s="6"/>
      <c r="B33" s="9">
        <v>46232</v>
      </c>
      <c r="C33" s="9">
        <v>46259</v>
      </c>
      <c r="D33" s="6" t="s">
        <v>25</v>
      </c>
      <c r="E33" s="4">
        <v>2250</v>
      </c>
      <c r="F33" s="4"/>
      <c r="G33" s="4"/>
      <c r="H33" s="9">
        <v>46235</v>
      </c>
      <c r="I33" s="6" t="s">
        <v>28</v>
      </c>
      <c r="J33" s="5">
        <f>174.25-155.45</f>
        <v>18.800000000000011</v>
      </c>
      <c r="K33" s="4"/>
    </row>
    <row r="34" spans="1:15" x14ac:dyDescent="0.2">
      <c r="A34" s="6"/>
      <c r="B34" s="9">
        <v>46240</v>
      </c>
      <c r="C34" s="9">
        <v>46259</v>
      </c>
      <c r="D34" s="6" t="s">
        <v>39</v>
      </c>
      <c r="E34" s="4">
        <v>600</v>
      </c>
      <c r="F34" s="4"/>
      <c r="G34" s="4"/>
      <c r="H34" s="9">
        <v>46236</v>
      </c>
      <c r="I34" s="2" t="s">
        <v>33</v>
      </c>
      <c r="J34" s="5">
        <f>1372.73-1445.33</f>
        <v>-72.599999999999909</v>
      </c>
      <c r="K34" s="4"/>
    </row>
    <row r="35" spans="1:15" x14ac:dyDescent="0.2">
      <c r="A35" s="6"/>
      <c r="B35" s="9">
        <v>46247</v>
      </c>
      <c r="C35" s="9">
        <v>46256</v>
      </c>
      <c r="D35" s="6" t="s">
        <v>42</v>
      </c>
      <c r="F35" s="4">
        <v>575</v>
      </c>
      <c r="G35" s="4"/>
      <c r="K35" s="4"/>
    </row>
    <row r="36" spans="1:15" x14ac:dyDescent="0.2">
      <c r="A36" s="6"/>
      <c r="B36" s="9"/>
      <c r="C36" s="9">
        <v>46256</v>
      </c>
      <c r="D36" s="2" t="s">
        <v>43</v>
      </c>
      <c r="F36" s="4">
        <v>1213.31</v>
      </c>
      <c r="G36" s="4"/>
      <c r="K36" s="4"/>
    </row>
    <row r="37" spans="1:15" x14ac:dyDescent="0.2">
      <c r="A37" s="6"/>
      <c r="B37" s="9">
        <v>46249</v>
      </c>
      <c r="C37" s="9">
        <v>46256</v>
      </c>
      <c r="D37" s="2" t="s">
        <v>43</v>
      </c>
      <c r="F37" s="4">
        <v>648</v>
      </c>
      <c r="G37" s="4"/>
      <c r="K37" s="4"/>
    </row>
    <row r="38" spans="1:15" x14ac:dyDescent="0.2">
      <c r="A38" s="6"/>
      <c r="B38" s="9">
        <v>46253</v>
      </c>
      <c r="C38" s="9">
        <v>46256</v>
      </c>
      <c r="D38" s="2" t="s">
        <v>7</v>
      </c>
      <c r="F38" s="4">
        <v>430.85</v>
      </c>
      <c r="G38" s="4"/>
      <c r="K38" s="4"/>
    </row>
    <row r="39" spans="1:15" x14ac:dyDescent="0.2">
      <c r="A39" s="6"/>
      <c r="B39" s="9">
        <v>46253</v>
      </c>
      <c r="C39" s="9">
        <v>46255</v>
      </c>
      <c r="D39" s="6" t="s">
        <v>7</v>
      </c>
      <c r="F39" s="4">
        <v>861.7</v>
      </c>
      <c r="G39" s="4"/>
      <c r="K39" s="4"/>
    </row>
    <row r="40" spans="1:15" x14ac:dyDescent="0.2">
      <c r="A40" s="6"/>
      <c r="B40" s="9">
        <v>46246</v>
      </c>
      <c r="C40" s="9">
        <v>46254</v>
      </c>
      <c r="D40" s="6" t="s">
        <v>7</v>
      </c>
      <c r="F40" s="4">
        <v>664.39</v>
      </c>
      <c r="G40" s="4"/>
      <c r="K40" s="4"/>
    </row>
    <row r="41" spans="1:15" x14ac:dyDescent="0.2">
      <c r="A41" s="6"/>
      <c r="B41" s="9">
        <v>46181</v>
      </c>
      <c r="C41" s="9">
        <v>46252</v>
      </c>
      <c r="D41" s="6" t="s">
        <v>7</v>
      </c>
      <c r="F41" s="4">
        <f>664.39+861.7</f>
        <v>1526.0900000000001</v>
      </c>
      <c r="G41" s="4"/>
    </row>
    <row r="42" spans="1:15" s="6" customFormat="1" x14ac:dyDescent="0.2">
      <c r="B42" s="9"/>
      <c r="C42" s="9"/>
      <c r="G42" s="8"/>
    </row>
    <row r="43" spans="1:15" s="6" customFormat="1" x14ac:dyDescent="0.2">
      <c r="B43" s="9"/>
      <c r="C43" s="9"/>
      <c r="G43" s="8"/>
    </row>
    <row r="44" spans="1:15" x14ac:dyDescent="0.2">
      <c r="B44" s="9"/>
      <c r="C44" s="9"/>
      <c r="E44" s="2"/>
    </row>
    <row r="45" spans="1:15" ht="13.5" thickBot="1" x14ac:dyDescent="0.25">
      <c r="A45" s="6"/>
      <c r="B45" s="9"/>
      <c r="C45" s="9"/>
      <c r="E45" s="14">
        <f>SUM(E7:E41)</f>
        <v>84728.17</v>
      </c>
      <c r="F45" s="6"/>
      <c r="G45" s="6"/>
      <c r="H45" s="9"/>
      <c r="J45" s="14">
        <f>SUM(J8:J44)</f>
        <v>920.46000000000026</v>
      </c>
    </row>
    <row r="46" spans="1:15" ht="13.5" thickTop="1" x14ac:dyDescent="0.2">
      <c r="B46" s="9"/>
      <c r="C46" s="9"/>
      <c r="H46" s="9"/>
    </row>
    <row r="47" spans="1:15" x14ac:dyDescent="0.2">
      <c r="B47" s="9"/>
      <c r="C47" s="9"/>
      <c r="F47" s="10"/>
      <c r="G47" s="10"/>
      <c r="H47" s="9"/>
      <c r="L47" s="10"/>
      <c r="N47" s="10"/>
      <c r="O47" s="10"/>
    </row>
    <row r="48" spans="1:15" x14ac:dyDescent="0.2">
      <c r="B48" s="9"/>
      <c r="C48" s="9"/>
      <c r="H48" s="9"/>
    </row>
    <row r="49" spans="1:15" x14ac:dyDescent="0.2">
      <c r="B49" s="9"/>
      <c r="C49" s="9"/>
      <c r="E49" s="2"/>
      <c r="H49" s="9"/>
      <c r="J49" s="11"/>
    </row>
    <row r="50" spans="1:15" ht="15" x14ac:dyDescent="0.25">
      <c r="F50"/>
      <c r="G50"/>
      <c r="H50" s="9"/>
      <c r="J50" s="4"/>
    </row>
    <row r="51" spans="1:15" ht="15" x14ac:dyDescent="0.25">
      <c r="F51"/>
      <c r="G51"/>
      <c r="H51"/>
      <c r="I51"/>
      <c r="J51" s="12"/>
    </row>
    <row r="52" spans="1:15" ht="15" x14ac:dyDescent="0.25">
      <c r="F52"/>
      <c r="G52"/>
      <c r="H52"/>
      <c r="I52"/>
      <c r="J52"/>
    </row>
    <row r="53" spans="1:15" ht="15" x14ac:dyDescent="0.25">
      <c r="F53"/>
      <c r="G53"/>
      <c r="H53"/>
      <c r="I53"/>
      <c r="J53"/>
    </row>
    <row r="54" spans="1:15" s="4" customFormat="1" x14ac:dyDescent="0.2">
      <c r="A54" s="2"/>
      <c r="B54" s="2"/>
      <c r="C54" s="2"/>
      <c r="D54" s="2"/>
      <c r="F54" s="2"/>
      <c r="G54" s="2"/>
      <c r="H54" s="2"/>
      <c r="I54" s="2"/>
      <c r="J54" s="5"/>
      <c r="K54" s="2"/>
      <c r="L54" s="2"/>
      <c r="M54" s="2"/>
      <c r="N54" s="2"/>
      <c r="O54" s="2"/>
    </row>
    <row r="55" spans="1:15" x14ac:dyDescent="0.2">
      <c r="E55" s="10"/>
    </row>
    <row r="56" spans="1:15" x14ac:dyDescent="0.2">
      <c r="E56" s="2"/>
    </row>
    <row r="57" spans="1:15" x14ac:dyDescent="0.2">
      <c r="E57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C1D47-C65A-42BB-96CF-9DF4DEDCBCE2}">
  <sheetPr>
    <pageSetUpPr fitToPage="1"/>
  </sheetPr>
  <dimension ref="A1:O58"/>
  <sheetViews>
    <sheetView zoomScale="135" zoomScaleNormal="135" workbookViewId="0">
      <pane xSplit="1" ySplit="7" topLeftCell="B24" activePane="bottomRight" state="frozen"/>
      <selection pane="topRight" activeCell="B1" sqref="B1"/>
      <selection pane="bottomLeft" activeCell="A5" sqref="A5"/>
      <selection pane="bottomRight" activeCell="J28" sqref="J28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40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K8" s="4"/>
    </row>
    <row r="9" spans="1:11" x14ac:dyDescent="0.2">
      <c r="A9" s="6"/>
      <c r="B9" s="9">
        <v>46240</v>
      </c>
      <c r="C9" s="9">
        <v>46483</v>
      </c>
      <c r="D9" s="6" t="s">
        <v>37</v>
      </c>
      <c r="E9" s="4">
        <v>1750</v>
      </c>
      <c r="F9" s="4"/>
      <c r="G9" s="4"/>
      <c r="K9" s="4"/>
    </row>
    <row r="10" spans="1:11" x14ac:dyDescent="0.2">
      <c r="A10" s="6"/>
      <c r="B10" s="9">
        <v>46247</v>
      </c>
      <c r="C10" s="9">
        <v>46446</v>
      </c>
      <c r="D10" s="6" t="s">
        <v>9</v>
      </c>
      <c r="E10" s="4">
        <v>4000</v>
      </c>
      <c r="F10" s="4"/>
      <c r="G10" s="4"/>
      <c r="K10" s="4"/>
    </row>
    <row r="11" spans="1:11" x14ac:dyDescent="0.2">
      <c r="A11" s="6"/>
      <c r="B11" s="9">
        <v>46218</v>
      </c>
      <c r="C11" s="9">
        <v>46397</v>
      </c>
      <c r="D11" s="6" t="s">
        <v>23</v>
      </c>
      <c r="E11" s="4">
        <v>10000</v>
      </c>
      <c r="F11" s="4"/>
      <c r="G11" s="4"/>
      <c r="K11" s="4"/>
    </row>
    <row r="12" spans="1:11" x14ac:dyDescent="0.2">
      <c r="A12" s="6"/>
      <c r="B12" s="9">
        <v>46232</v>
      </c>
      <c r="C12" s="9">
        <v>46373</v>
      </c>
      <c r="D12" s="6" t="s">
        <v>30</v>
      </c>
      <c r="E12" s="4">
        <v>3000</v>
      </c>
      <c r="F12" s="4"/>
      <c r="G12" s="4"/>
      <c r="K12" s="4"/>
    </row>
    <row r="13" spans="1:11" x14ac:dyDescent="0.2">
      <c r="A13" s="6"/>
      <c r="B13" s="9">
        <v>46240</v>
      </c>
      <c r="C13" s="9">
        <v>46372</v>
      </c>
      <c r="D13" s="6" t="s">
        <v>38</v>
      </c>
      <c r="E13" s="4">
        <v>5000</v>
      </c>
      <c r="F13" s="4"/>
      <c r="G13" s="4"/>
      <c r="K13" s="4"/>
    </row>
    <row r="14" spans="1:11" x14ac:dyDescent="0.2">
      <c r="A14" s="6"/>
      <c r="B14" s="9">
        <v>46206</v>
      </c>
      <c r="C14" s="9">
        <v>46367</v>
      </c>
      <c r="D14" s="6" t="s">
        <v>19</v>
      </c>
      <c r="E14" s="4">
        <v>6750</v>
      </c>
      <c r="F14" s="4"/>
      <c r="G14" s="4"/>
      <c r="K14" s="4"/>
    </row>
    <row r="15" spans="1:11" x14ac:dyDescent="0.2">
      <c r="A15" s="6"/>
      <c r="B15" s="9">
        <v>46200</v>
      </c>
      <c r="C15" s="9">
        <v>46345</v>
      </c>
      <c r="D15" s="6" t="s">
        <v>18</v>
      </c>
      <c r="E15" s="4">
        <v>7000</v>
      </c>
      <c r="F15" s="4"/>
      <c r="G15" s="4"/>
      <c r="K15" s="4"/>
    </row>
    <row r="16" spans="1:11" x14ac:dyDescent="0.2">
      <c r="A16" s="6"/>
      <c r="B16" s="9">
        <v>46231</v>
      </c>
      <c r="C16" s="9">
        <v>46327</v>
      </c>
      <c r="D16" s="6" t="s">
        <v>29</v>
      </c>
      <c r="E16" s="4">
        <v>1750</v>
      </c>
      <c r="F16" s="4"/>
      <c r="G16" s="4"/>
      <c r="K16" s="4"/>
    </row>
    <row r="17" spans="1:11" x14ac:dyDescent="0.2">
      <c r="A17" s="6"/>
      <c r="B17" s="9">
        <v>46162</v>
      </c>
      <c r="C17" s="9">
        <v>46326</v>
      </c>
      <c r="D17" s="6" t="s">
        <v>13</v>
      </c>
      <c r="E17" s="4">
        <v>6000</v>
      </c>
      <c r="F17" s="4"/>
      <c r="G17" s="4"/>
      <c r="K17" s="4"/>
    </row>
    <row r="18" spans="1:11" x14ac:dyDescent="0.2">
      <c r="A18" s="6"/>
      <c r="B18" s="9">
        <v>46232</v>
      </c>
      <c r="C18" s="9">
        <v>46318</v>
      </c>
      <c r="D18" s="6" t="s">
        <v>31</v>
      </c>
      <c r="E18" s="4">
        <v>5000</v>
      </c>
      <c r="F18" s="4"/>
      <c r="G18" s="4"/>
      <c r="K18" s="4"/>
    </row>
    <row r="19" spans="1:11" x14ac:dyDescent="0.2">
      <c r="A19" s="6"/>
      <c r="B19" s="9">
        <v>46193</v>
      </c>
      <c r="C19" s="9">
        <v>46308</v>
      </c>
      <c r="D19" s="6" t="s">
        <v>15</v>
      </c>
      <c r="E19" s="4">
        <v>1750</v>
      </c>
      <c r="F19" s="4"/>
      <c r="G19" s="4"/>
      <c r="K19" s="4"/>
    </row>
    <row r="20" spans="1:11" x14ac:dyDescent="0.2">
      <c r="A20" s="6"/>
      <c r="B20" s="9">
        <v>46197</v>
      </c>
      <c r="C20" s="9">
        <v>46307</v>
      </c>
      <c r="D20" s="6" t="s">
        <v>16</v>
      </c>
      <c r="E20" s="4">
        <v>4000</v>
      </c>
      <c r="F20" s="4"/>
      <c r="G20" s="4"/>
      <c r="K20" s="4"/>
    </row>
    <row r="21" spans="1:11" x14ac:dyDescent="0.2">
      <c r="A21" s="6"/>
      <c r="B21" s="9">
        <v>46213</v>
      </c>
      <c r="C21" s="9">
        <v>46301</v>
      </c>
      <c r="D21" s="6" t="s">
        <v>21</v>
      </c>
      <c r="E21" s="4">
        <v>1750</v>
      </c>
      <c r="F21" s="4"/>
      <c r="G21" s="4"/>
      <c r="K21" s="4"/>
    </row>
    <row r="22" spans="1:11" x14ac:dyDescent="0.2">
      <c r="A22" s="6"/>
      <c r="B22" s="9">
        <v>46220</v>
      </c>
      <c r="C22" s="9">
        <v>46295</v>
      </c>
      <c r="D22" s="6" t="s">
        <v>7</v>
      </c>
      <c r="E22" s="4">
        <v>664.39</v>
      </c>
      <c r="F22" s="4"/>
      <c r="G22" s="4"/>
      <c r="K22" s="4"/>
    </row>
    <row r="23" spans="1:11" x14ac:dyDescent="0.2">
      <c r="A23" s="6"/>
      <c r="B23" s="9">
        <v>46156</v>
      </c>
      <c r="C23" s="9">
        <v>46288</v>
      </c>
      <c r="D23" s="6" t="s">
        <v>12</v>
      </c>
      <c r="E23" s="4">
        <v>550</v>
      </c>
      <c r="F23" s="4"/>
      <c r="G23" s="4"/>
      <c r="K23" s="4"/>
    </row>
    <row r="24" spans="1:11" x14ac:dyDescent="0.2">
      <c r="A24" s="6"/>
      <c r="B24" s="9">
        <v>46212</v>
      </c>
      <c r="C24" s="9">
        <v>46280</v>
      </c>
      <c r="D24" s="6" t="s">
        <v>15</v>
      </c>
      <c r="E24" s="4">
        <v>1750</v>
      </c>
      <c r="F24" s="4"/>
      <c r="G24" s="4"/>
      <c r="K24" s="4"/>
    </row>
    <row r="25" spans="1:11" x14ac:dyDescent="0.2">
      <c r="A25" s="6"/>
      <c r="B25" s="9">
        <v>46225</v>
      </c>
      <c r="C25" s="9">
        <v>46277</v>
      </c>
      <c r="D25" s="6" t="s">
        <v>27</v>
      </c>
      <c r="E25" s="4">
        <v>460</v>
      </c>
      <c r="F25" s="4"/>
      <c r="G25" s="4"/>
      <c r="K25" s="4"/>
    </row>
    <row r="26" spans="1:11" x14ac:dyDescent="0.2">
      <c r="A26" s="6"/>
      <c r="B26" s="9">
        <v>46240</v>
      </c>
      <c r="C26" s="9">
        <v>46267</v>
      </c>
      <c r="D26" s="6" t="s">
        <v>36</v>
      </c>
      <c r="E26" s="4">
        <v>1500</v>
      </c>
      <c r="F26" s="4"/>
      <c r="G26" s="4"/>
      <c r="K26" s="4"/>
    </row>
    <row r="27" spans="1:11" x14ac:dyDescent="0.2">
      <c r="A27" s="6"/>
      <c r="B27" s="9">
        <v>46224</v>
      </c>
      <c r="C27" s="9">
        <v>46261</v>
      </c>
      <c r="D27" s="6" t="s">
        <v>24</v>
      </c>
      <c r="E27" s="4">
        <v>2000</v>
      </c>
      <c r="F27" s="4"/>
      <c r="G27" s="4"/>
      <c r="H27" s="9">
        <v>46248</v>
      </c>
      <c r="I27" s="6" t="s">
        <v>41</v>
      </c>
      <c r="J27" s="5">
        <v>3819.77</v>
      </c>
      <c r="K27" s="4"/>
    </row>
    <row r="28" spans="1:11" x14ac:dyDescent="0.2">
      <c r="A28" s="6"/>
      <c r="B28" s="9">
        <v>46248</v>
      </c>
      <c r="C28" s="9">
        <v>46261</v>
      </c>
      <c r="D28" s="6" t="s">
        <v>7</v>
      </c>
      <c r="E28" s="4">
        <v>664.39</v>
      </c>
      <c r="F28" s="4"/>
      <c r="G28" s="4"/>
      <c r="H28" s="9">
        <v>46248</v>
      </c>
      <c r="I28" s="6" t="s">
        <v>41</v>
      </c>
      <c r="J28" s="5">
        <v>879.52</v>
      </c>
      <c r="K28" s="4"/>
    </row>
    <row r="29" spans="1:11" x14ac:dyDescent="0.2">
      <c r="A29" s="6"/>
      <c r="B29" s="9">
        <v>46233</v>
      </c>
      <c r="C29" s="9">
        <v>46260</v>
      </c>
      <c r="D29" s="6" t="s">
        <v>35</v>
      </c>
      <c r="E29" s="4">
        <v>1875</v>
      </c>
      <c r="F29" s="4"/>
      <c r="G29" s="4"/>
      <c r="H29" s="9">
        <v>46248</v>
      </c>
      <c r="I29" s="6" t="s">
        <v>41</v>
      </c>
      <c r="K29" s="5">
        <v>-41.77</v>
      </c>
    </row>
    <row r="30" spans="1:11" x14ac:dyDescent="0.2">
      <c r="A30" s="6"/>
      <c r="B30" s="9">
        <v>46225</v>
      </c>
      <c r="C30" s="9">
        <v>46259</v>
      </c>
      <c r="D30" s="6" t="s">
        <v>25</v>
      </c>
      <c r="E30" s="4">
        <v>1750</v>
      </c>
      <c r="F30" s="4"/>
      <c r="G30" s="4"/>
      <c r="H30" s="9">
        <v>46245</v>
      </c>
      <c r="I30" s="6" t="s">
        <v>14</v>
      </c>
      <c r="K30" s="5">
        <v>3774.86</v>
      </c>
    </row>
    <row r="31" spans="1:11" x14ac:dyDescent="0.2">
      <c r="A31" s="6"/>
      <c r="B31" s="9">
        <v>46232</v>
      </c>
      <c r="C31" s="9">
        <v>46259</v>
      </c>
      <c r="D31" s="6" t="s">
        <v>25</v>
      </c>
      <c r="E31" s="4">
        <v>2250</v>
      </c>
      <c r="F31" s="4"/>
      <c r="G31" s="4"/>
      <c r="H31" s="9">
        <v>46240</v>
      </c>
      <c r="I31" s="6" t="s">
        <v>20</v>
      </c>
      <c r="J31" s="5">
        <f>49.49-48.89</f>
        <v>0.60000000000000142</v>
      </c>
      <c r="K31" s="4"/>
    </row>
    <row r="32" spans="1:11" x14ac:dyDescent="0.2">
      <c r="A32" s="6"/>
      <c r="B32" s="9">
        <v>46240</v>
      </c>
      <c r="C32" s="9">
        <v>46259</v>
      </c>
      <c r="D32" s="6" t="s">
        <v>39</v>
      </c>
      <c r="E32" s="4">
        <v>600</v>
      </c>
      <c r="F32" s="4"/>
      <c r="G32" s="4"/>
      <c r="H32" s="9">
        <v>46238</v>
      </c>
      <c r="I32" s="6" t="s">
        <v>22</v>
      </c>
      <c r="J32" s="5">
        <f>1900.32-1906.32</f>
        <v>-6</v>
      </c>
      <c r="K32" s="4"/>
    </row>
    <row r="33" spans="1:15" x14ac:dyDescent="0.2">
      <c r="A33" s="6"/>
      <c r="B33" s="9">
        <v>46247</v>
      </c>
      <c r="C33" s="9">
        <v>46256</v>
      </c>
      <c r="D33" s="6" t="s">
        <v>42</v>
      </c>
      <c r="E33" s="4">
        <v>575</v>
      </c>
      <c r="F33" s="4"/>
      <c r="G33" s="4"/>
      <c r="H33" s="9"/>
      <c r="I33" s="6"/>
      <c r="K33" s="4"/>
    </row>
    <row r="34" spans="1:15" x14ac:dyDescent="0.2">
      <c r="A34" s="6"/>
      <c r="B34" s="9">
        <v>46249</v>
      </c>
      <c r="C34" s="9">
        <v>46256</v>
      </c>
      <c r="D34" s="2" t="s">
        <v>43</v>
      </c>
      <c r="E34" s="4">
        <v>648</v>
      </c>
      <c r="G34" s="4"/>
      <c r="H34" s="9">
        <v>46235</v>
      </c>
      <c r="I34" s="6" t="s">
        <v>28</v>
      </c>
      <c r="J34" s="5">
        <f>174.25-155.45</f>
        <v>18.800000000000011</v>
      </c>
      <c r="K34" s="4"/>
    </row>
    <row r="35" spans="1:15" x14ac:dyDescent="0.2">
      <c r="A35" s="6"/>
      <c r="B35" s="9">
        <v>46246</v>
      </c>
      <c r="C35" s="9">
        <v>46254</v>
      </c>
      <c r="D35" s="6" t="s">
        <v>7</v>
      </c>
      <c r="E35" s="4">
        <v>664.39</v>
      </c>
      <c r="F35" s="4"/>
      <c r="G35" s="4"/>
      <c r="H35" s="9">
        <v>46236</v>
      </c>
      <c r="I35" s="2" t="s">
        <v>33</v>
      </c>
      <c r="J35" s="5">
        <f>1372.73-1445.33</f>
        <v>-72.599999999999909</v>
      </c>
      <c r="K35" s="4"/>
    </row>
    <row r="36" spans="1:15" x14ac:dyDescent="0.2">
      <c r="A36" s="6"/>
      <c r="B36" s="9">
        <v>46181</v>
      </c>
      <c r="C36" s="9">
        <v>46252</v>
      </c>
      <c r="D36" s="6" t="s">
        <v>7</v>
      </c>
      <c r="E36" s="4">
        <f>664.39+861.7</f>
        <v>1526.0900000000001</v>
      </c>
      <c r="F36" s="4"/>
      <c r="G36" s="4"/>
    </row>
    <row r="37" spans="1:15" x14ac:dyDescent="0.2">
      <c r="A37" s="6"/>
      <c r="B37" s="9">
        <v>46248</v>
      </c>
      <c r="C37" s="9">
        <v>46249</v>
      </c>
      <c r="D37" s="6" t="s">
        <v>7</v>
      </c>
      <c r="F37" s="4">
        <v>430.85</v>
      </c>
      <c r="G37" s="4"/>
      <c r="K37" s="4"/>
    </row>
    <row r="38" spans="1:15" x14ac:dyDescent="0.2">
      <c r="A38" s="6"/>
      <c r="B38" s="9">
        <v>46234</v>
      </c>
      <c r="C38" s="9">
        <v>46249</v>
      </c>
      <c r="D38" s="6" t="s">
        <v>34</v>
      </c>
      <c r="F38" s="4">
        <v>2250</v>
      </c>
      <c r="G38" s="4"/>
      <c r="K38" s="4"/>
    </row>
    <row r="39" spans="1:15" x14ac:dyDescent="0.2">
      <c r="A39" s="6"/>
      <c r="B39" s="9">
        <v>46232</v>
      </c>
      <c r="C39" s="9">
        <v>46249</v>
      </c>
      <c r="D39" s="6" t="s">
        <v>32</v>
      </c>
      <c r="F39" s="4">
        <v>356</v>
      </c>
      <c r="G39" s="4"/>
      <c r="H39" s="9"/>
      <c r="I39" s="6"/>
      <c r="J39" s="13"/>
      <c r="K39" s="5"/>
    </row>
    <row r="40" spans="1:15" x14ac:dyDescent="0.2">
      <c r="A40" s="6"/>
      <c r="B40" s="9">
        <v>46247</v>
      </c>
      <c r="C40" s="9">
        <v>46248</v>
      </c>
      <c r="D40" s="6" t="s">
        <v>32</v>
      </c>
      <c r="F40" s="4">
        <v>773.06</v>
      </c>
      <c r="G40" s="4"/>
      <c r="H40" s="9"/>
      <c r="I40" s="6"/>
      <c r="J40" s="13"/>
      <c r="K40" s="5"/>
    </row>
    <row r="41" spans="1:15" x14ac:dyDescent="0.2">
      <c r="A41" s="6"/>
      <c r="B41" s="9">
        <v>46247</v>
      </c>
      <c r="C41" s="9">
        <v>46248</v>
      </c>
      <c r="D41" s="6" t="s">
        <v>41</v>
      </c>
      <c r="F41" s="4">
        <v>1840</v>
      </c>
      <c r="G41" s="4"/>
      <c r="K41" s="4"/>
    </row>
    <row r="42" spans="1:15" x14ac:dyDescent="0.2">
      <c r="A42" s="6"/>
      <c r="B42" s="9"/>
      <c r="C42" s="9"/>
      <c r="G42" s="4"/>
      <c r="K42" s="4"/>
    </row>
    <row r="43" spans="1:15" s="6" customFormat="1" x14ac:dyDescent="0.2">
      <c r="B43" s="9"/>
      <c r="C43" s="9"/>
      <c r="G43" s="8"/>
    </row>
    <row r="44" spans="1:15" s="6" customFormat="1" x14ac:dyDescent="0.2">
      <c r="B44" s="9"/>
      <c r="C44" s="9"/>
      <c r="G44" s="8"/>
    </row>
    <row r="45" spans="1:15" x14ac:dyDescent="0.2">
      <c r="B45" s="9"/>
      <c r="C45" s="9"/>
      <c r="E45" s="2"/>
    </row>
    <row r="46" spans="1:15" ht="13.5" thickBot="1" x14ac:dyDescent="0.25">
      <c r="A46" s="6"/>
      <c r="B46" s="9"/>
      <c r="C46" s="9"/>
      <c r="E46" s="14">
        <f>SUM(E7:E41)</f>
        <v>81227.259999999995</v>
      </c>
      <c r="F46" s="6"/>
      <c r="G46" s="6"/>
      <c r="H46" s="9"/>
      <c r="J46" s="14">
        <f>SUM(J8:J45)</f>
        <v>4640.09</v>
      </c>
    </row>
    <row r="47" spans="1:15" ht="13.5" thickTop="1" x14ac:dyDescent="0.2">
      <c r="B47" s="9"/>
      <c r="C47" s="9"/>
      <c r="H47" s="9"/>
    </row>
    <row r="48" spans="1:15" x14ac:dyDescent="0.2">
      <c r="B48" s="9"/>
      <c r="C48" s="9"/>
      <c r="F48" s="10"/>
      <c r="G48" s="10"/>
      <c r="H48" s="9"/>
      <c r="L48" s="10"/>
      <c r="N48" s="10"/>
      <c r="O48" s="10"/>
    </row>
    <row r="49" spans="1:15" x14ac:dyDescent="0.2">
      <c r="B49" s="9"/>
      <c r="C49" s="9"/>
      <c r="H49" s="9"/>
    </row>
    <row r="50" spans="1:15" x14ac:dyDescent="0.2">
      <c r="B50" s="9"/>
      <c r="C50" s="9"/>
      <c r="E50" s="2"/>
      <c r="H50" s="9"/>
      <c r="J50" s="11"/>
    </row>
    <row r="51" spans="1:15" ht="15" x14ac:dyDescent="0.25">
      <c r="F51"/>
      <c r="G51"/>
      <c r="H51" s="9"/>
      <c r="J51" s="4"/>
    </row>
    <row r="52" spans="1:15" ht="15" x14ac:dyDescent="0.25">
      <c r="F52"/>
      <c r="G52"/>
      <c r="H52"/>
      <c r="I52"/>
      <c r="J52" s="12"/>
    </row>
    <row r="53" spans="1:15" ht="15" x14ac:dyDescent="0.25">
      <c r="F53"/>
      <c r="G53"/>
      <c r="H53"/>
      <c r="I53"/>
      <c r="J53"/>
    </row>
    <row r="54" spans="1:15" ht="15" x14ac:dyDescent="0.25">
      <c r="F54"/>
      <c r="G54"/>
      <c r="H54"/>
      <c r="I54"/>
      <c r="J54"/>
    </row>
    <row r="55" spans="1:15" s="4" customFormat="1" x14ac:dyDescent="0.2">
      <c r="A55" s="2"/>
      <c r="B55" s="2"/>
      <c r="C55" s="2"/>
      <c r="D55" s="2"/>
      <c r="F55" s="2"/>
      <c r="G55" s="2"/>
      <c r="H55" s="2"/>
      <c r="I55" s="2"/>
      <c r="J55" s="5"/>
      <c r="K55" s="2"/>
      <c r="L55" s="2"/>
      <c r="M55" s="2"/>
      <c r="N55" s="2"/>
      <c r="O55" s="2"/>
    </row>
    <row r="56" spans="1:15" x14ac:dyDescent="0.2">
      <c r="E56" s="10"/>
    </row>
    <row r="57" spans="1:15" x14ac:dyDescent="0.2">
      <c r="E57" s="2"/>
    </row>
    <row r="58" spans="1:15" x14ac:dyDescent="0.2">
      <c r="E58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7DF2D-ED45-41CD-BC36-309838F8677E}">
  <sheetPr>
    <pageSetUpPr fitToPage="1"/>
  </sheetPr>
  <dimension ref="A1:O61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J36" sqref="J36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40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K8" s="4"/>
    </row>
    <row r="9" spans="1:11" x14ac:dyDescent="0.2">
      <c r="A9" s="6"/>
      <c r="B9" s="9">
        <v>46240</v>
      </c>
      <c r="C9" s="9">
        <v>46483</v>
      </c>
      <c r="D9" s="6" t="s">
        <v>37</v>
      </c>
      <c r="E9" s="4">
        <v>1750</v>
      </c>
      <c r="F9" s="4"/>
      <c r="G9" s="4"/>
      <c r="K9" s="4"/>
    </row>
    <row r="10" spans="1:11" x14ac:dyDescent="0.2">
      <c r="A10" s="6"/>
      <c r="B10" s="9">
        <v>46218</v>
      </c>
      <c r="C10" s="9">
        <v>46397</v>
      </c>
      <c r="D10" s="6" t="s">
        <v>23</v>
      </c>
      <c r="E10" s="4">
        <v>10000</v>
      </c>
      <c r="F10" s="4"/>
      <c r="G10" s="4"/>
      <c r="K10" s="4"/>
    </row>
    <row r="11" spans="1:11" x14ac:dyDescent="0.2">
      <c r="A11" s="6"/>
      <c r="B11" s="9">
        <v>46232</v>
      </c>
      <c r="C11" s="9">
        <v>46373</v>
      </c>
      <c r="D11" s="6" t="s">
        <v>30</v>
      </c>
      <c r="E11" s="4">
        <v>3000</v>
      </c>
      <c r="F11" s="4"/>
      <c r="G11" s="4"/>
      <c r="K11" s="4"/>
    </row>
    <row r="12" spans="1:11" x14ac:dyDescent="0.2">
      <c r="A12" s="6"/>
      <c r="B12" s="9">
        <v>46240</v>
      </c>
      <c r="C12" s="9">
        <v>46372</v>
      </c>
      <c r="D12" s="6" t="s">
        <v>38</v>
      </c>
      <c r="E12" s="4">
        <v>5000</v>
      </c>
      <c r="F12" s="4"/>
      <c r="G12" s="4"/>
      <c r="K12" s="4"/>
    </row>
    <row r="13" spans="1:11" x14ac:dyDescent="0.2">
      <c r="A13" s="6"/>
      <c r="B13" s="9">
        <v>46206</v>
      </c>
      <c r="C13" s="9">
        <v>46367</v>
      </c>
      <c r="D13" s="6" t="s">
        <v>19</v>
      </c>
      <c r="E13" s="4">
        <v>6750</v>
      </c>
      <c r="F13" s="4"/>
      <c r="G13" s="4"/>
      <c r="K13" s="4"/>
    </row>
    <row r="14" spans="1:11" x14ac:dyDescent="0.2">
      <c r="A14" s="6"/>
      <c r="B14" s="9">
        <v>46200</v>
      </c>
      <c r="C14" s="9">
        <v>46345</v>
      </c>
      <c r="D14" s="6" t="s">
        <v>18</v>
      </c>
      <c r="E14" s="4">
        <v>7000</v>
      </c>
      <c r="F14" s="4"/>
      <c r="G14" s="4"/>
      <c r="K14" s="4"/>
    </row>
    <row r="15" spans="1:11" x14ac:dyDescent="0.2">
      <c r="A15" s="6"/>
      <c r="B15" s="9">
        <v>46231</v>
      </c>
      <c r="C15" s="9">
        <v>46327</v>
      </c>
      <c r="D15" s="6" t="s">
        <v>29</v>
      </c>
      <c r="E15" s="4">
        <v>1750</v>
      </c>
      <c r="F15" s="4"/>
      <c r="G15" s="4"/>
      <c r="K15" s="4"/>
    </row>
    <row r="16" spans="1:11" x14ac:dyDescent="0.2">
      <c r="A16" s="6"/>
      <c r="B16" s="9">
        <v>46162</v>
      </c>
      <c r="C16" s="9">
        <v>46326</v>
      </c>
      <c r="D16" s="6" t="s">
        <v>13</v>
      </c>
      <c r="E16" s="4">
        <v>6000</v>
      </c>
      <c r="F16" s="4"/>
      <c r="G16" s="4"/>
      <c r="K16" s="4"/>
    </row>
    <row r="17" spans="1:11" x14ac:dyDescent="0.2">
      <c r="A17" s="6"/>
      <c r="B17" s="9">
        <v>46232</v>
      </c>
      <c r="C17" s="9">
        <v>46318</v>
      </c>
      <c r="D17" s="6" t="s">
        <v>31</v>
      </c>
      <c r="E17" s="4">
        <v>5000</v>
      </c>
      <c r="F17" s="4"/>
      <c r="G17" s="4"/>
      <c r="K17" s="4"/>
    </row>
    <row r="18" spans="1:11" x14ac:dyDescent="0.2">
      <c r="A18" s="6"/>
      <c r="B18" s="9">
        <v>46193</v>
      </c>
      <c r="C18" s="9">
        <v>46308</v>
      </c>
      <c r="D18" s="6" t="s">
        <v>15</v>
      </c>
      <c r="E18" s="4">
        <v>1750</v>
      </c>
      <c r="F18" s="4"/>
      <c r="G18" s="4"/>
      <c r="K18" s="4"/>
    </row>
    <row r="19" spans="1:11" x14ac:dyDescent="0.2">
      <c r="A19" s="6"/>
      <c r="B19" s="9">
        <v>46197</v>
      </c>
      <c r="C19" s="9">
        <v>46307</v>
      </c>
      <c r="D19" s="6" t="s">
        <v>16</v>
      </c>
      <c r="E19" s="4">
        <v>4000</v>
      </c>
      <c r="F19" s="4"/>
      <c r="G19" s="4"/>
      <c r="K19" s="4"/>
    </row>
    <row r="20" spans="1:11" x14ac:dyDescent="0.2">
      <c r="A20" s="6"/>
      <c r="B20" s="9">
        <v>46213</v>
      </c>
      <c r="C20" s="9">
        <v>46301</v>
      </c>
      <c r="D20" s="6" t="s">
        <v>21</v>
      </c>
      <c r="E20" s="4">
        <v>1750</v>
      </c>
      <c r="F20" s="4"/>
      <c r="G20" s="4"/>
      <c r="K20" s="4"/>
    </row>
    <row r="21" spans="1:11" x14ac:dyDescent="0.2">
      <c r="A21" s="6"/>
      <c r="B21" s="9">
        <v>46220</v>
      </c>
      <c r="C21" s="9">
        <v>46295</v>
      </c>
      <c r="D21" s="6" t="s">
        <v>7</v>
      </c>
      <c r="E21" s="4">
        <v>664.39</v>
      </c>
      <c r="F21" s="4"/>
      <c r="G21" s="4"/>
      <c r="K21" s="4"/>
    </row>
    <row r="22" spans="1:11" x14ac:dyDescent="0.2">
      <c r="A22" s="6"/>
      <c r="B22" s="9">
        <v>46156</v>
      </c>
      <c r="C22" s="9">
        <v>46288</v>
      </c>
      <c r="D22" s="6" t="s">
        <v>12</v>
      </c>
      <c r="E22" s="4">
        <v>550</v>
      </c>
      <c r="F22" s="4"/>
      <c r="G22" s="4"/>
      <c r="K22" s="4"/>
    </row>
    <row r="23" spans="1:11" x14ac:dyDescent="0.2">
      <c r="A23" s="6"/>
      <c r="B23" s="9">
        <v>46212</v>
      </c>
      <c r="C23" s="9">
        <v>46280</v>
      </c>
      <c r="D23" s="6" t="s">
        <v>15</v>
      </c>
      <c r="E23" s="4">
        <v>1750</v>
      </c>
      <c r="F23" s="4"/>
      <c r="G23" s="4"/>
      <c r="K23" s="4"/>
    </row>
    <row r="24" spans="1:11" x14ac:dyDescent="0.2">
      <c r="A24" s="6"/>
      <c r="B24" s="9">
        <v>46225</v>
      </c>
      <c r="C24" s="9">
        <v>46277</v>
      </c>
      <c r="D24" s="6" t="s">
        <v>27</v>
      </c>
      <c r="E24" s="4">
        <v>460</v>
      </c>
      <c r="F24" s="4"/>
      <c r="G24" s="4"/>
      <c r="K24" s="4"/>
    </row>
    <row r="25" spans="1:11" x14ac:dyDescent="0.2">
      <c r="A25" s="6"/>
      <c r="B25" s="9">
        <v>46240</v>
      </c>
      <c r="C25" s="9">
        <v>46267</v>
      </c>
      <c r="D25" s="6" t="s">
        <v>36</v>
      </c>
      <c r="E25" s="4">
        <v>1500</v>
      </c>
      <c r="F25" s="4"/>
      <c r="G25" s="4"/>
      <c r="K25" s="4"/>
    </row>
    <row r="26" spans="1:11" x14ac:dyDescent="0.2">
      <c r="A26" s="6"/>
      <c r="B26" s="9">
        <v>46224</v>
      </c>
      <c r="C26" s="9">
        <v>46261</v>
      </c>
      <c r="D26" s="6" t="s">
        <v>24</v>
      </c>
      <c r="E26" s="4">
        <v>2000</v>
      </c>
      <c r="F26" s="4"/>
      <c r="G26" s="4"/>
      <c r="K26" s="4"/>
    </row>
    <row r="27" spans="1:11" x14ac:dyDescent="0.2">
      <c r="A27" s="6"/>
      <c r="B27" s="9">
        <v>46233</v>
      </c>
      <c r="C27" s="9">
        <v>46260</v>
      </c>
      <c r="D27" s="6" t="s">
        <v>35</v>
      </c>
      <c r="E27" s="4">
        <v>1875</v>
      </c>
      <c r="F27" s="4"/>
      <c r="G27" s="4"/>
      <c r="K27" s="4"/>
    </row>
    <row r="28" spans="1:11" x14ac:dyDescent="0.2">
      <c r="A28" s="6"/>
      <c r="B28" s="9">
        <v>46225</v>
      </c>
      <c r="C28" s="9">
        <v>46259</v>
      </c>
      <c r="D28" s="6" t="s">
        <v>25</v>
      </c>
      <c r="E28" s="4">
        <v>1750</v>
      </c>
      <c r="F28" s="4"/>
      <c r="G28" s="4"/>
      <c r="K28" s="4"/>
    </row>
    <row r="29" spans="1:11" x14ac:dyDescent="0.2">
      <c r="A29" s="6"/>
      <c r="B29" s="9">
        <v>46232</v>
      </c>
      <c r="C29" s="9">
        <v>46259</v>
      </c>
      <c r="D29" s="6" t="s">
        <v>25</v>
      </c>
      <c r="E29" s="4">
        <v>2250</v>
      </c>
      <c r="F29" s="4"/>
      <c r="G29" s="4"/>
      <c r="K29" s="4"/>
    </row>
    <row r="30" spans="1:11" x14ac:dyDescent="0.2">
      <c r="A30" s="6"/>
      <c r="B30" s="9">
        <v>46240</v>
      </c>
      <c r="C30" s="9">
        <v>46259</v>
      </c>
      <c r="D30" s="6" t="s">
        <v>39</v>
      </c>
      <c r="E30" s="4">
        <v>600</v>
      </c>
      <c r="F30" s="4"/>
      <c r="G30" s="4"/>
      <c r="K30" s="4"/>
    </row>
    <row r="31" spans="1:11" x14ac:dyDescent="0.2">
      <c r="A31" s="6"/>
      <c r="B31" s="9">
        <v>46246</v>
      </c>
      <c r="C31" s="9">
        <v>46254</v>
      </c>
      <c r="D31" s="6" t="s">
        <v>7</v>
      </c>
      <c r="E31" s="4">
        <v>664.39</v>
      </c>
      <c r="F31" s="4"/>
      <c r="G31" s="4"/>
      <c r="K31" s="4"/>
    </row>
    <row r="32" spans="1:11" x14ac:dyDescent="0.2">
      <c r="A32" s="6"/>
      <c r="B32" s="9">
        <v>46181</v>
      </c>
      <c r="C32" s="9">
        <v>46252</v>
      </c>
      <c r="D32" s="6" t="s">
        <v>7</v>
      </c>
      <c r="E32" s="4">
        <f>664.39+861.7</f>
        <v>1526.0900000000001</v>
      </c>
      <c r="F32" s="4"/>
      <c r="G32" s="4"/>
      <c r="K32" s="4"/>
    </row>
    <row r="33" spans="1:11" x14ac:dyDescent="0.2">
      <c r="A33" s="6"/>
      <c r="B33" s="9">
        <v>46234</v>
      </c>
      <c r="C33" s="9">
        <v>46249</v>
      </c>
      <c r="D33" s="6" t="s">
        <v>34</v>
      </c>
      <c r="E33" s="4">
        <v>2250</v>
      </c>
      <c r="F33" s="4"/>
      <c r="G33" s="4"/>
      <c r="K33" s="4"/>
    </row>
    <row r="34" spans="1:11" x14ac:dyDescent="0.2">
      <c r="A34" s="6"/>
      <c r="B34" s="9">
        <v>46232</v>
      </c>
      <c r="C34" s="9">
        <v>46249</v>
      </c>
      <c r="D34" s="6" t="s">
        <v>32</v>
      </c>
      <c r="E34" s="4">
        <v>356</v>
      </c>
      <c r="F34" s="4"/>
      <c r="G34" s="4"/>
      <c r="K34" s="4"/>
    </row>
    <row r="35" spans="1:11" x14ac:dyDescent="0.2">
      <c r="A35" s="6"/>
      <c r="B35" s="9">
        <v>46189</v>
      </c>
      <c r="C35" s="9">
        <v>46245</v>
      </c>
      <c r="D35" s="6" t="s">
        <v>14</v>
      </c>
      <c r="F35" s="4">
        <v>1625</v>
      </c>
      <c r="G35" s="4"/>
      <c r="H35" s="9">
        <v>46245</v>
      </c>
      <c r="I35" s="6" t="s">
        <v>14</v>
      </c>
      <c r="J35" s="5">
        <v>3774.86</v>
      </c>
      <c r="K35" s="4"/>
    </row>
    <row r="36" spans="1:11" x14ac:dyDescent="0.2">
      <c r="A36" s="6"/>
      <c r="B36" s="9">
        <v>46225</v>
      </c>
      <c r="C36" s="9">
        <v>46242</v>
      </c>
      <c r="D36" s="6" t="s">
        <v>7</v>
      </c>
      <c r="F36" s="4">
        <v>1328.78</v>
      </c>
      <c r="G36" s="4"/>
      <c r="H36" s="9">
        <v>46240</v>
      </c>
      <c r="I36" s="6" t="s">
        <v>20</v>
      </c>
      <c r="J36" s="5">
        <f>49.49-48.89</f>
        <v>0.60000000000000142</v>
      </c>
      <c r="K36" s="4"/>
    </row>
    <row r="37" spans="1:11" x14ac:dyDescent="0.2">
      <c r="A37" s="6"/>
      <c r="B37" s="9">
        <v>46225</v>
      </c>
      <c r="C37" s="9">
        <v>46242</v>
      </c>
      <c r="D37" s="6" t="s">
        <v>26</v>
      </c>
      <c r="F37" s="4">
        <v>621</v>
      </c>
      <c r="G37" s="4"/>
      <c r="H37" s="9">
        <v>46238</v>
      </c>
      <c r="I37" s="6" t="s">
        <v>22</v>
      </c>
      <c r="J37" s="5">
        <f>1900.32-1906.32</f>
        <v>-6</v>
      </c>
      <c r="K37" s="4"/>
    </row>
    <row r="38" spans="1:11" x14ac:dyDescent="0.2">
      <c r="A38" s="6"/>
      <c r="B38" s="9">
        <v>46231</v>
      </c>
      <c r="C38" s="9">
        <v>46241</v>
      </c>
      <c r="D38" s="6" t="s">
        <v>7</v>
      </c>
      <c r="F38" s="4">
        <v>664.39</v>
      </c>
      <c r="G38" s="4"/>
      <c r="H38" s="9">
        <v>46237</v>
      </c>
      <c r="I38" s="6" t="s">
        <v>17</v>
      </c>
      <c r="K38" s="5">
        <v>2590.8000000000002</v>
      </c>
    </row>
    <row r="39" spans="1:11" x14ac:dyDescent="0.2">
      <c r="A39" s="6"/>
      <c r="B39" s="9">
        <v>46210</v>
      </c>
      <c r="C39" s="9">
        <v>46240</v>
      </c>
      <c r="D39" s="6" t="s">
        <v>20</v>
      </c>
      <c r="F39" s="4">
        <v>1750</v>
      </c>
      <c r="G39" s="4"/>
      <c r="H39" s="9">
        <v>46235</v>
      </c>
      <c r="I39" s="6" t="s">
        <v>28</v>
      </c>
      <c r="J39" s="5">
        <f>174.25-155.45</f>
        <v>18.800000000000011</v>
      </c>
      <c r="K39" s="4"/>
    </row>
    <row r="40" spans="1:11" x14ac:dyDescent="0.2">
      <c r="A40" s="6"/>
      <c r="B40" s="9">
        <v>46236</v>
      </c>
      <c r="C40" s="9">
        <v>46240</v>
      </c>
      <c r="D40" s="6" t="s">
        <v>20</v>
      </c>
      <c r="F40" s="4">
        <v>3022.6</v>
      </c>
      <c r="G40" s="4"/>
      <c r="H40" s="9">
        <v>46236</v>
      </c>
      <c r="I40" s="2" t="s">
        <v>33</v>
      </c>
      <c r="J40" s="5">
        <f>1372.73-1445.33</f>
        <v>-72.599999999999909</v>
      </c>
      <c r="K40" s="4"/>
    </row>
    <row r="41" spans="1:11" x14ac:dyDescent="0.2">
      <c r="A41" s="6"/>
      <c r="B41" s="9"/>
      <c r="C41" s="9"/>
      <c r="D41" s="6"/>
      <c r="F41" s="4"/>
      <c r="G41" s="4"/>
      <c r="K41" s="4"/>
    </row>
    <row r="42" spans="1:11" x14ac:dyDescent="0.2">
      <c r="A42" s="6"/>
      <c r="B42" s="9"/>
      <c r="C42" s="9"/>
      <c r="D42" s="6"/>
      <c r="E42" s="2"/>
      <c r="F42" s="4"/>
      <c r="G42" s="4"/>
      <c r="H42" s="9"/>
      <c r="I42" s="6"/>
      <c r="J42" s="13"/>
      <c r="K42" s="5"/>
    </row>
    <row r="43" spans="1:11" x14ac:dyDescent="0.2">
      <c r="A43" s="6"/>
      <c r="B43" s="9"/>
      <c r="C43" s="9"/>
      <c r="D43" s="6"/>
      <c r="E43" s="2"/>
      <c r="F43" s="4"/>
      <c r="G43" s="4"/>
      <c r="H43" s="9"/>
      <c r="I43" s="6"/>
      <c r="J43" s="13"/>
      <c r="K43" s="5"/>
    </row>
    <row r="44" spans="1:11" x14ac:dyDescent="0.2">
      <c r="A44" s="6"/>
      <c r="B44" s="9"/>
      <c r="C44" s="9"/>
      <c r="F44" s="4"/>
      <c r="G44" s="4"/>
      <c r="K44" s="4"/>
    </row>
    <row r="45" spans="1:11" x14ac:dyDescent="0.2">
      <c r="A45" s="6"/>
      <c r="B45" s="9"/>
      <c r="C45" s="9"/>
      <c r="F45" s="4"/>
      <c r="G45" s="4"/>
      <c r="K45" s="4"/>
    </row>
    <row r="46" spans="1:11" s="6" customFormat="1" x14ac:dyDescent="0.2">
      <c r="B46" s="9"/>
      <c r="C46" s="9"/>
      <c r="G46" s="8"/>
    </row>
    <row r="47" spans="1:11" s="6" customFormat="1" x14ac:dyDescent="0.2">
      <c r="B47" s="9"/>
      <c r="C47" s="9"/>
      <c r="G47" s="8"/>
    </row>
    <row r="48" spans="1:11" x14ac:dyDescent="0.2">
      <c r="B48" s="9"/>
      <c r="C48" s="9"/>
      <c r="E48" s="2"/>
    </row>
    <row r="49" spans="1:15" ht="13.5" thickBot="1" x14ac:dyDescent="0.25">
      <c r="A49" s="6"/>
      <c r="B49" s="9"/>
      <c r="C49" s="9"/>
      <c r="E49" s="14">
        <f>SUM(E7:E43)</f>
        <v>77945.87</v>
      </c>
      <c r="F49" s="6"/>
      <c r="G49" s="6"/>
      <c r="H49" s="9"/>
      <c r="J49" s="14">
        <f>SUM(J8:J48)</f>
        <v>3715.6600000000003</v>
      </c>
    </row>
    <row r="50" spans="1:15" ht="13.5" thickTop="1" x14ac:dyDescent="0.2">
      <c r="B50" s="9"/>
      <c r="C50" s="9"/>
      <c r="H50" s="9"/>
    </row>
    <row r="51" spans="1:15" x14ac:dyDescent="0.2">
      <c r="B51" s="9"/>
      <c r="C51" s="9"/>
      <c r="F51" s="10"/>
      <c r="G51" s="10"/>
      <c r="H51" s="9"/>
      <c r="L51" s="10"/>
      <c r="N51" s="10"/>
      <c r="O51" s="10"/>
    </row>
    <row r="52" spans="1:15" x14ac:dyDescent="0.2">
      <c r="B52" s="9"/>
      <c r="C52" s="9"/>
      <c r="H52" s="9"/>
    </row>
    <row r="53" spans="1:15" x14ac:dyDescent="0.2">
      <c r="B53" s="9"/>
      <c r="C53" s="9"/>
      <c r="E53" s="2"/>
      <c r="H53" s="9"/>
      <c r="J53" s="11"/>
    </row>
    <row r="54" spans="1:15" ht="15" x14ac:dyDescent="0.25">
      <c r="F54"/>
      <c r="G54"/>
      <c r="H54" s="9"/>
      <c r="J54" s="4"/>
    </row>
    <row r="55" spans="1:15" ht="15" x14ac:dyDescent="0.25">
      <c r="F55"/>
      <c r="G55"/>
      <c r="H55"/>
      <c r="I55"/>
      <c r="J55" s="12"/>
    </row>
    <row r="56" spans="1:15" ht="15" x14ac:dyDescent="0.25">
      <c r="F56"/>
      <c r="G56"/>
      <c r="H56"/>
      <c r="I56"/>
      <c r="J56"/>
    </row>
    <row r="57" spans="1:15" ht="15" x14ac:dyDescent="0.25">
      <c r="F57"/>
      <c r="G57"/>
      <c r="H57"/>
      <c r="I57"/>
      <c r="J57"/>
    </row>
    <row r="58" spans="1:15" s="4" customFormat="1" x14ac:dyDescent="0.2">
      <c r="A58" s="2"/>
      <c r="B58" s="2"/>
      <c r="C58" s="2"/>
      <c r="D58" s="2"/>
      <c r="F58" s="2"/>
      <c r="G58" s="2"/>
      <c r="H58" s="2"/>
      <c r="I58" s="2"/>
      <c r="J58" s="5"/>
      <c r="K58" s="2"/>
      <c r="L58" s="2"/>
      <c r="M58" s="2"/>
      <c r="N58" s="2"/>
      <c r="O58" s="2"/>
    </row>
    <row r="59" spans="1:15" x14ac:dyDescent="0.2">
      <c r="E59" s="10"/>
    </row>
    <row r="60" spans="1:15" x14ac:dyDescent="0.2">
      <c r="E60" s="2"/>
    </row>
    <row r="61" spans="1:15" x14ac:dyDescent="0.2">
      <c r="E61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A34CE-32B8-4F35-81FC-F11727C95731}">
  <sheetPr codeName="Sheet20">
    <pageSetUpPr fitToPage="1"/>
  </sheetPr>
  <dimension ref="A1:O62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B3" sqref="B3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40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K8" s="4"/>
    </row>
    <row r="9" spans="1:11" x14ac:dyDescent="0.2">
      <c r="A9" s="6"/>
      <c r="B9" s="9">
        <v>46218</v>
      </c>
      <c r="C9" s="9">
        <v>46397</v>
      </c>
      <c r="D9" s="6" t="s">
        <v>23</v>
      </c>
      <c r="E9" s="4">
        <v>10000</v>
      </c>
      <c r="F9" s="4"/>
      <c r="G9" s="4"/>
      <c r="K9" s="4"/>
    </row>
    <row r="10" spans="1:11" x14ac:dyDescent="0.2">
      <c r="A10" s="6"/>
      <c r="B10" s="9">
        <v>46232</v>
      </c>
      <c r="C10" s="9">
        <v>46373</v>
      </c>
      <c r="D10" s="6" t="s">
        <v>30</v>
      </c>
      <c r="E10" s="4">
        <v>3000</v>
      </c>
      <c r="F10" s="4"/>
      <c r="G10" s="4"/>
      <c r="K10" s="4"/>
    </row>
    <row r="11" spans="1:11" x14ac:dyDescent="0.2">
      <c r="A11" s="6"/>
      <c r="B11" s="9">
        <v>46206</v>
      </c>
      <c r="C11" s="9">
        <v>46367</v>
      </c>
      <c r="D11" s="6" t="s">
        <v>19</v>
      </c>
      <c r="E11" s="4">
        <v>6750</v>
      </c>
      <c r="F11" s="4"/>
      <c r="G11" s="4"/>
      <c r="K11" s="4"/>
    </row>
    <row r="12" spans="1:11" x14ac:dyDescent="0.2">
      <c r="A12" s="6"/>
      <c r="B12" s="9">
        <v>46200</v>
      </c>
      <c r="C12" s="9">
        <v>46345</v>
      </c>
      <c r="D12" s="6" t="s">
        <v>18</v>
      </c>
      <c r="E12" s="4">
        <v>7000</v>
      </c>
      <c r="F12" s="4"/>
      <c r="G12" s="4"/>
      <c r="K12" s="4"/>
    </row>
    <row r="13" spans="1:11" x14ac:dyDescent="0.2">
      <c r="A13" s="6"/>
      <c r="B13" s="9">
        <v>46231</v>
      </c>
      <c r="C13" s="9">
        <v>46327</v>
      </c>
      <c r="D13" s="6" t="s">
        <v>29</v>
      </c>
      <c r="E13" s="4">
        <v>1750</v>
      </c>
      <c r="F13" s="4"/>
      <c r="G13" s="4"/>
      <c r="K13" s="4"/>
    </row>
    <row r="14" spans="1:11" x14ac:dyDescent="0.2">
      <c r="A14" s="6"/>
      <c r="B14" s="9">
        <v>46162</v>
      </c>
      <c r="C14" s="9">
        <v>46326</v>
      </c>
      <c r="D14" s="6" t="s">
        <v>13</v>
      </c>
      <c r="E14" s="4">
        <v>6000</v>
      </c>
      <c r="F14" s="4"/>
      <c r="G14" s="4"/>
      <c r="K14" s="4"/>
    </row>
    <row r="15" spans="1:11" x14ac:dyDescent="0.2">
      <c r="A15" s="6"/>
      <c r="B15" s="9">
        <v>46232</v>
      </c>
      <c r="C15" s="9">
        <v>46318</v>
      </c>
      <c r="D15" s="6" t="s">
        <v>31</v>
      </c>
      <c r="E15" s="4">
        <v>5000</v>
      </c>
      <c r="F15" s="4"/>
      <c r="G15" s="4"/>
      <c r="K15" s="4"/>
    </row>
    <row r="16" spans="1:11" x14ac:dyDescent="0.2">
      <c r="A16" s="6"/>
      <c r="B16" s="9">
        <v>46193</v>
      </c>
      <c r="C16" s="9">
        <v>46308</v>
      </c>
      <c r="D16" s="6" t="s">
        <v>15</v>
      </c>
      <c r="E16" s="4">
        <v>1750</v>
      </c>
      <c r="F16" s="4"/>
      <c r="G16" s="4"/>
      <c r="K16" s="4"/>
    </row>
    <row r="17" spans="1:11" x14ac:dyDescent="0.2">
      <c r="A17" s="6"/>
      <c r="B17" s="9">
        <v>46197</v>
      </c>
      <c r="C17" s="9">
        <v>46307</v>
      </c>
      <c r="D17" s="6" t="s">
        <v>16</v>
      </c>
      <c r="E17" s="4">
        <v>4000</v>
      </c>
      <c r="F17" s="4"/>
      <c r="G17" s="4"/>
      <c r="K17" s="4"/>
    </row>
    <row r="18" spans="1:11" x14ac:dyDescent="0.2">
      <c r="A18" s="6"/>
      <c r="B18" s="9">
        <v>46213</v>
      </c>
      <c r="C18" s="9">
        <v>46301</v>
      </c>
      <c r="D18" s="6" t="s">
        <v>21</v>
      </c>
      <c r="E18" s="4">
        <v>1750</v>
      </c>
      <c r="F18" s="4"/>
      <c r="G18" s="4"/>
      <c r="K18" s="4"/>
    </row>
    <row r="19" spans="1:11" x14ac:dyDescent="0.2">
      <c r="A19" s="6"/>
      <c r="B19" s="9">
        <v>46220</v>
      </c>
      <c r="C19" s="9">
        <v>46295</v>
      </c>
      <c r="D19" s="6" t="s">
        <v>7</v>
      </c>
      <c r="E19" s="4">
        <v>664.39</v>
      </c>
      <c r="F19" s="4"/>
      <c r="G19" s="4"/>
      <c r="K19" s="4"/>
    </row>
    <row r="20" spans="1:11" x14ac:dyDescent="0.2">
      <c r="A20" s="6"/>
      <c r="B20" s="9">
        <v>46156</v>
      </c>
      <c r="C20" s="9">
        <v>46288</v>
      </c>
      <c r="D20" s="6" t="s">
        <v>12</v>
      </c>
      <c r="E20" s="4">
        <v>550</v>
      </c>
      <c r="F20" s="4"/>
      <c r="G20" s="4"/>
      <c r="K20" s="4"/>
    </row>
    <row r="21" spans="1:11" x14ac:dyDescent="0.2">
      <c r="A21" s="6"/>
      <c r="B21" s="9">
        <v>46212</v>
      </c>
      <c r="C21" s="9">
        <v>46280</v>
      </c>
      <c r="D21" s="6" t="s">
        <v>15</v>
      </c>
      <c r="E21" s="4">
        <v>1750</v>
      </c>
      <c r="F21" s="4"/>
      <c r="G21" s="4"/>
      <c r="K21" s="4"/>
    </row>
    <row r="22" spans="1:11" x14ac:dyDescent="0.2">
      <c r="A22" s="6"/>
      <c r="B22" s="9">
        <v>46225</v>
      </c>
      <c r="C22" s="9">
        <v>46277</v>
      </c>
      <c r="D22" s="6" t="s">
        <v>27</v>
      </c>
      <c r="E22" s="4">
        <v>460</v>
      </c>
      <c r="F22" s="4"/>
      <c r="G22" s="4"/>
      <c r="K22" s="4"/>
    </row>
    <row r="23" spans="1:11" x14ac:dyDescent="0.2">
      <c r="A23" s="6"/>
      <c r="B23" s="9">
        <v>46224</v>
      </c>
      <c r="C23" s="9">
        <v>46261</v>
      </c>
      <c r="D23" s="6" t="s">
        <v>24</v>
      </c>
      <c r="E23" s="4">
        <v>2000</v>
      </c>
      <c r="F23" s="4"/>
      <c r="G23" s="4"/>
      <c r="K23" s="4"/>
    </row>
    <row r="24" spans="1:11" x14ac:dyDescent="0.2">
      <c r="A24" s="6"/>
      <c r="B24" s="9">
        <v>46233</v>
      </c>
      <c r="C24" s="9">
        <v>46260</v>
      </c>
      <c r="D24" s="6" t="s">
        <v>35</v>
      </c>
      <c r="E24" s="4">
        <v>1875</v>
      </c>
      <c r="F24" s="4"/>
      <c r="G24" s="4"/>
      <c r="K24" s="4"/>
    </row>
    <row r="25" spans="1:11" x14ac:dyDescent="0.2">
      <c r="A25" s="6"/>
      <c r="B25" s="9">
        <v>46225</v>
      </c>
      <c r="C25" s="9">
        <v>46259</v>
      </c>
      <c r="D25" s="6" t="s">
        <v>25</v>
      </c>
      <c r="E25" s="4">
        <v>1750</v>
      </c>
      <c r="F25" s="4"/>
      <c r="G25" s="4"/>
      <c r="K25" s="4"/>
    </row>
    <row r="26" spans="1:11" x14ac:dyDescent="0.2">
      <c r="A26" s="6"/>
      <c r="B26" s="9">
        <v>46232</v>
      </c>
      <c r="C26" s="9">
        <v>46259</v>
      </c>
      <c r="D26" s="6" t="s">
        <v>25</v>
      </c>
      <c r="E26" s="4">
        <v>2250</v>
      </c>
      <c r="F26" s="4"/>
      <c r="G26" s="4"/>
      <c r="K26" s="4"/>
    </row>
    <row r="27" spans="1:11" x14ac:dyDescent="0.2">
      <c r="A27" s="6"/>
      <c r="B27" s="9">
        <v>46181</v>
      </c>
      <c r="C27" s="9">
        <v>46252</v>
      </c>
      <c r="D27" s="6" t="s">
        <v>7</v>
      </c>
      <c r="E27" s="4">
        <v>664.39</v>
      </c>
      <c r="F27" s="4"/>
      <c r="G27" s="4"/>
      <c r="K27" s="4"/>
    </row>
    <row r="28" spans="1:11" x14ac:dyDescent="0.2">
      <c r="A28" s="6"/>
      <c r="B28" s="9">
        <v>46234</v>
      </c>
      <c r="C28" s="9">
        <v>46249</v>
      </c>
      <c r="D28" s="6" t="s">
        <v>34</v>
      </c>
      <c r="E28" s="4">
        <v>2250</v>
      </c>
      <c r="F28" s="4"/>
      <c r="G28" s="4"/>
      <c r="K28" s="4"/>
    </row>
    <row r="29" spans="1:11" x14ac:dyDescent="0.2">
      <c r="A29" s="6"/>
      <c r="B29" s="9">
        <v>46232</v>
      </c>
      <c r="C29" s="9">
        <v>46249</v>
      </c>
      <c r="D29" s="6" t="s">
        <v>32</v>
      </c>
      <c r="E29" s="4">
        <v>356</v>
      </c>
      <c r="F29" s="4"/>
      <c r="G29" s="4"/>
      <c r="K29" s="4"/>
    </row>
    <row r="30" spans="1:11" x14ac:dyDescent="0.2">
      <c r="A30" s="6"/>
      <c r="B30" s="9">
        <v>46189</v>
      </c>
      <c r="C30" s="9">
        <v>46245</v>
      </c>
      <c r="D30" s="6" t="s">
        <v>14</v>
      </c>
      <c r="E30" s="4">
        <v>1625</v>
      </c>
      <c r="F30" s="4"/>
      <c r="G30" s="4"/>
      <c r="K30" s="4"/>
    </row>
    <row r="31" spans="1:11" x14ac:dyDescent="0.2">
      <c r="A31" s="6"/>
      <c r="B31" s="9">
        <v>46225</v>
      </c>
      <c r="C31" s="9">
        <v>46242</v>
      </c>
      <c r="D31" s="6" t="s">
        <v>7</v>
      </c>
      <c r="E31" s="4">
        <v>1328.78</v>
      </c>
      <c r="F31" s="4"/>
      <c r="G31" s="4"/>
      <c r="K31" s="4"/>
    </row>
    <row r="32" spans="1:11" x14ac:dyDescent="0.2">
      <c r="A32" s="6"/>
      <c r="B32" s="9">
        <v>46225</v>
      </c>
      <c r="C32" s="9">
        <v>46242</v>
      </c>
      <c r="D32" s="6" t="s">
        <v>26</v>
      </c>
      <c r="E32" s="4">
        <v>621</v>
      </c>
      <c r="F32" s="4"/>
      <c r="G32" s="4"/>
      <c r="K32" s="4"/>
    </row>
    <row r="33" spans="1:11" x14ac:dyDescent="0.2">
      <c r="A33" s="6"/>
      <c r="B33" s="9">
        <v>46231</v>
      </c>
      <c r="C33" s="9">
        <v>46241</v>
      </c>
      <c r="D33" s="6" t="s">
        <v>7</v>
      </c>
      <c r="E33" s="4">
        <v>664.39</v>
      </c>
      <c r="F33" s="4"/>
      <c r="G33" s="4"/>
      <c r="H33" s="9">
        <v>46238</v>
      </c>
      <c r="I33" s="6" t="s">
        <v>22</v>
      </c>
      <c r="J33" s="5">
        <v>1900.32</v>
      </c>
      <c r="K33" s="4"/>
    </row>
    <row r="34" spans="1:11" x14ac:dyDescent="0.2">
      <c r="A34" s="6"/>
      <c r="B34" s="9">
        <v>46210</v>
      </c>
      <c r="C34" s="9">
        <v>46240</v>
      </c>
      <c r="D34" s="6" t="s">
        <v>20</v>
      </c>
      <c r="E34" s="4">
        <v>1750</v>
      </c>
      <c r="F34" s="4"/>
      <c r="G34" s="4"/>
      <c r="H34" s="9">
        <v>46237</v>
      </c>
      <c r="I34" s="6" t="s">
        <v>17</v>
      </c>
      <c r="J34" s="5">
        <v>2590.8000000000002</v>
      </c>
      <c r="K34" s="4"/>
    </row>
    <row r="35" spans="1:11" x14ac:dyDescent="0.2">
      <c r="A35" s="6"/>
      <c r="B35" s="9">
        <v>46236</v>
      </c>
      <c r="C35" s="9">
        <v>46240</v>
      </c>
      <c r="D35" s="6" t="s">
        <v>20</v>
      </c>
      <c r="E35" s="4">
        <v>3022.6</v>
      </c>
      <c r="F35" s="4"/>
      <c r="G35" s="4"/>
      <c r="H35" s="9">
        <v>46235</v>
      </c>
      <c r="I35" s="6" t="s">
        <v>28</v>
      </c>
      <c r="J35" s="5">
        <v>174.25</v>
      </c>
      <c r="K35" s="4"/>
    </row>
    <row r="36" spans="1:11" x14ac:dyDescent="0.2">
      <c r="A36" s="6"/>
      <c r="B36" s="9">
        <v>46233</v>
      </c>
      <c r="C36" s="9">
        <v>46239</v>
      </c>
      <c r="D36" s="6" t="s">
        <v>7</v>
      </c>
      <c r="F36" s="4">
        <v>430.85</v>
      </c>
      <c r="G36" s="4"/>
      <c r="H36" s="9">
        <v>46236</v>
      </c>
      <c r="I36" s="2" t="s">
        <v>33</v>
      </c>
      <c r="J36" s="5">
        <f>1372.73-1445.33</f>
        <v>-72.599999999999909</v>
      </c>
      <c r="K36" s="4"/>
    </row>
    <row r="37" spans="1:11" x14ac:dyDescent="0.2">
      <c r="A37" s="6"/>
      <c r="B37" s="9">
        <v>46170</v>
      </c>
      <c r="C37" s="9">
        <v>46238</v>
      </c>
      <c r="D37" s="6" t="s">
        <v>7</v>
      </c>
      <c r="E37" s="2"/>
      <c r="F37" s="4">
        <f>430.85+430.85</f>
        <v>861.7</v>
      </c>
      <c r="G37" s="4"/>
      <c r="H37" s="9"/>
      <c r="I37" s="6"/>
      <c r="J37" s="13"/>
      <c r="K37" s="5"/>
    </row>
    <row r="38" spans="1:11" x14ac:dyDescent="0.2">
      <c r="A38" s="6"/>
      <c r="B38" s="9">
        <v>46213</v>
      </c>
      <c r="C38" s="9">
        <v>46238</v>
      </c>
      <c r="D38" s="6" t="s">
        <v>22</v>
      </c>
      <c r="E38" s="2"/>
      <c r="F38" s="4">
        <v>500</v>
      </c>
      <c r="G38" s="4"/>
      <c r="H38" s="9"/>
      <c r="I38" s="6"/>
      <c r="J38" s="13"/>
      <c r="K38" s="5"/>
    </row>
    <row r="39" spans="1:11" x14ac:dyDescent="0.2">
      <c r="A39" s="6"/>
      <c r="B39" s="9">
        <v>46199</v>
      </c>
      <c r="C39" s="9">
        <v>46237</v>
      </c>
      <c r="D39" s="6" t="s">
        <v>17</v>
      </c>
      <c r="E39" s="2"/>
      <c r="F39" s="4">
        <v>1500</v>
      </c>
      <c r="G39" s="4"/>
      <c r="H39" s="9"/>
      <c r="I39" s="6"/>
      <c r="J39" s="13"/>
      <c r="K39" s="4"/>
    </row>
    <row r="40" spans="1:11" x14ac:dyDescent="0.2">
      <c r="A40" s="6"/>
      <c r="B40" s="9">
        <v>46232</v>
      </c>
      <c r="C40" s="9">
        <v>46236</v>
      </c>
      <c r="D40" s="2" t="s">
        <v>33</v>
      </c>
      <c r="E40" s="2"/>
      <c r="F40" s="4">
        <v>550</v>
      </c>
      <c r="G40" s="4"/>
      <c r="H40" s="9"/>
      <c r="I40" s="6"/>
      <c r="K40" s="4"/>
    </row>
    <row r="41" spans="1:11" x14ac:dyDescent="0.2">
      <c r="A41" s="6"/>
      <c r="B41" s="9">
        <v>46225</v>
      </c>
      <c r="C41" s="9">
        <v>46235</v>
      </c>
      <c r="D41" s="6" t="s">
        <v>28</v>
      </c>
      <c r="F41" s="4">
        <v>660</v>
      </c>
      <c r="G41" s="4"/>
      <c r="H41" s="9"/>
      <c r="I41" s="6"/>
      <c r="J41" s="4"/>
      <c r="K41" s="5"/>
    </row>
    <row r="42" spans="1:11" x14ac:dyDescent="0.2">
      <c r="A42" s="6"/>
      <c r="B42" s="9">
        <v>46233</v>
      </c>
      <c r="C42" s="9">
        <v>46235</v>
      </c>
      <c r="D42" s="6" t="s">
        <v>28</v>
      </c>
      <c r="F42" s="4">
        <v>1139.95</v>
      </c>
      <c r="G42" s="4"/>
      <c r="H42" s="9"/>
      <c r="I42" s="6"/>
      <c r="J42" s="4"/>
      <c r="K42" s="5"/>
    </row>
    <row r="43" spans="1:11" x14ac:dyDescent="0.2">
      <c r="A43" s="6"/>
      <c r="B43" s="9">
        <v>46160</v>
      </c>
      <c r="C43" s="9">
        <v>46235</v>
      </c>
      <c r="D43" s="6" t="s">
        <v>7</v>
      </c>
      <c r="F43" s="4">
        <f>879.81+17.59</f>
        <v>897.4</v>
      </c>
      <c r="G43" s="4"/>
      <c r="H43" s="9"/>
      <c r="I43" s="6"/>
      <c r="K43" s="5"/>
    </row>
    <row r="44" spans="1:11" x14ac:dyDescent="0.2">
      <c r="A44" s="6"/>
      <c r="B44" s="9"/>
      <c r="C44" s="9"/>
      <c r="D44" s="6"/>
      <c r="F44" s="4"/>
      <c r="G44" s="4"/>
      <c r="H44" s="9"/>
      <c r="I44" s="6"/>
      <c r="K44" s="5"/>
    </row>
    <row r="45" spans="1:11" x14ac:dyDescent="0.2">
      <c r="A45" s="6"/>
      <c r="B45" s="9"/>
      <c r="C45" s="9"/>
      <c r="F45" s="4"/>
      <c r="G45" s="4"/>
      <c r="K45" s="4"/>
    </row>
    <row r="46" spans="1:11" x14ac:dyDescent="0.2">
      <c r="A46" s="6"/>
      <c r="B46" s="9"/>
      <c r="C46" s="9"/>
      <c r="F46" s="4"/>
      <c r="G46" s="4"/>
      <c r="K46" s="4"/>
    </row>
    <row r="47" spans="1:11" s="6" customFormat="1" x14ac:dyDescent="0.2">
      <c r="B47" s="9"/>
      <c r="C47" s="9"/>
      <c r="G47" s="8"/>
    </row>
    <row r="48" spans="1:11" s="6" customFormat="1" x14ac:dyDescent="0.2">
      <c r="B48" s="9"/>
      <c r="C48" s="9"/>
      <c r="G48" s="8"/>
    </row>
    <row r="49" spans="1:15" x14ac:dyDescent="0.2">
      <c r="B49" s="9"/>
      <c r="C49" s="9"/>
      <c r="E49" s="2"/>
    </row>
    <row r="50" spans="1:15" ht="13.5" thickBot="1" x14ac:dyDescent="0.25">
      <c r="A50" s="6"/>
      <c r="B50" s="9"/>
      <c r="C50" s="9"/>
      <c r="E50" s="14">
        <f>SUM(E7:E44)</f>
        <v>76581.55</v>
      </c>
      <c r="F50" s="6"/>
      <c r="G50" s="6"/>
      <c r="H50" s="9"/>
      <c r="J50" s="14">
        <f>SUM(J8:J49)</f>
        <v>4592.7700000000004</v>
      </c>
    </row>
    <row r="51" spans="1:15" ht="13.5" thickTop="1" x14ac:dyDescent="0.2">
      <c r="B51" s="9"/>
      <c r="C51" s="9"/>
      <c r="H51" s="9"/>
    </row>
    <row r="52" spans="1:15" x14ac:dyDescent="0.2">
      <c r="B52" s="9"/>
      <c r="C52" s="9"/>
      <c r="F52" s="10"/>
      <c r="G52" s="10"/>
      <c r="H52" s="9"/>
      <c r="L52" s="10"/>
      <c r="N52" s="10"/>
      <c r="O52" s="10"/>
    </row>
    <row r="53" spans="1:15" x14ac:dyDescent="0.2">
      <c r="B53" s="9"/>
      <c r="C53" s="9"/>
      <c r="H53" s="9"/>
    </row>
    <row r="54" spans="1:15" x14ac:dyDescent="0.2">
      <c r="B54" s="9"/>
      <c r="C54" s="9"/>
      <c r="E54" s="2"/>
      <c r="H54" s="9"/>
      <c r="J54" s="11"/>
    </row>
    <row r="55" spans="1:15" ht="15" x14ac:dyDescent="0.25">
      <c r="F55"/>
      <c r="G55"/>
      <c r="H55" s="9"/>
      <c r="J55" s="4"/>
    </row>
    <row r="56" spans="1:15" ht="15" x14ac:dyDescent="0.25">
      <c r="F56"/>
      <c r="G56"/>
      <c r="H56"/>
      <c r="I56"/>
      <c r="J56" s="12"/>
    </row>
    <row r="57" spans="1:15" ht="15" x14ac:dyDescent="0.25">
      <c r="F57"/>
      <c r="G57"/>
      <c r="H57"/>
      <c r="I57"/>
      <c r="J57"/>
    </row>
    <row r="58" spans="1:15" ht="15" x14ac:dyDescent="0.25">
      <c r="F58"/>
      <c r="G58"/>
      <c r="H58"/>
      <c r="I58"/>
      <c r="J58"/>
    </row>
    <row r="59" spans="1:15" s="4" customFormat="1" x14ac:dyDescent="0.2">
      <c r="A59" s="2"/>
      <c r="B59" s="2"/>
      <c r="C59" s="2"/>
      <c r="D59" s="2"/>
      <c r="F59" s="2"/>
      <c r="G59" s="2"/>
      <c r="H59" s="2"/>
      <c r="I59" s="2"/>
      <c r="J59" s="5"/>
      <c r="K59" s="2"/>
      <c r="L59" s="2"/>
      <c r="M59" s="2"/>
      <c r="N59" s="2"/>
      <c r="O59" s="2"/>
    </row>
    <row r="60" spans="1:15" x14ac:dyDescent="0.2">
      <c r="E60" s="10"/>
    </row>
    <row r="61" spans="1:15" x14ac:dyDescent="0.2">
      <c r="E61" s="2"/>
    </row>
    <row r="62" spans="1:15" x14ac:dyDescent="0.2">
      <c r="E62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6A0F2-8E5A-4714-9C18-AC0C7611957A}">
  <sheetPr>
    <pageSetUpPr fitToPage="1"/>
  </sheetPr>
  <dimension ref="A1:O61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E36" sqref="E36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60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K8" s="4"/>
    </row>
    <row r="9" spans="1:11" x14ac:dyDescent="0.2">
      <c r="A9" s="6"/>
      <c r="B9" s="9">
        <v>46218</v>
      </c>
      <c r="C9" s="9">
        <v>46397</v>
      </c>
      <c r="D9" s="6" t="s">
        <v>23</v>
      </c>
      <c r="E9" s="4">
        <v>10000</v>
      </c>
      <c r="F9" s="4"/>
      <c r="G9" s="4"/>
      <c r="K9" s="4"/>
    </row>
    <row r="10" spans="1:11" x14ac:dyDescent="0.2">
      <c r="A10" s="6"/>
      <c r="B10" s="9">
        <v>46232</v>
      </c>
      <c r="C10" s="9">
        <v>46373</v>
      </c>
      <c r="D10" s="6" t="s">
        <v>30</v>
      </c>
      <c r="E10" s="4">
        <v>3000</v>
      </c>
      <c r="F10" s="4"/>
      <c r="G10" s="4"/>
      <c r="K10" s="4"/>
    </row>
    <row r="11" spans="1:11" x14ac:dyDescent="0.2">
      <c r="A11" s="6"/>
      <c r="B11" s="9">
        <v>46206</v>
      </c>
      <c r="C11" s="9">
        <v>46367</v>
      </c>
      <c r="D11" s="6" t="s">
        <v>19</v>
      </c>
      <c r="E11" s="4">
        <v>6750</v>
      </c>
      <c r="F11" s="4"/>
      <c r="G11" s="4"/>
      <c r="K11" s="4"/>
    </row>
    <row r="12" spans="1:11" x14ac:dyDescent="0.2">
      <c r="A12" s="6"/>
      <c r="B12" s="9">
        <v>46200</v>
      </c>
      <c r="C12" s="9">
        <v>46345</v>
      </c>
      <c r="D12" s="6" t="s">
        <v>18</v>
      </c>
      <c r="E12" s="4">
        <v>7000</v>
      </c>
      <c r="F12" s="4"/>
      <c r="G12" s="4"/>
      <c r="K12" s="4"/>
    </row>
    <row r="13" spans="1:11" x14ac:dyDescent="0.2">
      <c r="A13" s="6"/>
      <c r="B13" s="9">
        <v>46231</v>
      </c>
      <c r="C13" s="9">
        <v>46327</v>
      </c>
      <c r="D13" s="6" t="s">
        <v>29</v>
      </c>
      <c r="E13" s="4">
        <v>1750</v>
      </c>
      <c r="F13" s="4"/>
      <c r="G13" s="4"/>
      <c r="K13" s="4"/>
    </row>
    <row r="14" spans="1:11" x14ac:dyDescent="0.2">
      <c r="A14" s="6"/>
      <c r="B14" s="9">
        <v>46162</v>
      </c>
      <c r="C14" s="9">
        <v>46326</v>
      </c>
      <c r="D14" s="6" t="s">
        <v>13</v>
      </c>
      <c r="E14" s="4">
        <v>6000</v>
      </c>
      <c r="F14" s="4"/>
      <c r="G14" s="4"/>
      <c r="K14" s="4"/>
    </row>
    <row r="15" spans="1:11" x14ac:dyDescent="0.2">
      <c r="A15" s="6"/>
      <c r="B15" s="9">
        <v>46232</v>
      </c>
      <c r="C15" s="9">
        <v>46318</v>
      </c>
      <c r="D15" s="6" t="s">
        <v>31</v>
      </c>
      <c r="E15" s="4">
        <v>5000</v>
      </c>
      <c r="F15" s="4"/>
      <c r="G15" s="4"/>
      <c r="K15" s="4"/>
    </row>
    <row r="16" spans="1:11" x14ac:dyDescent="0.2">
      <c r="A16" s="6"/>
      <c r="B16" s="9">
        <v>46193</v>
      </c>
      <c r="C16" s="9">
        <v>46308</v>
      </c>
      <c r="D16" s="6" t="s">
        <v>15</v>
      </c>
      <c r="E16" s="4">
        <v>1750</v>
      </c>
      <c r="F16" s="4"/>
      <c r="G16" s="4"/>
      <c r="K16" s="4"/>
    </row>
    <row r="17" spans="1:11" x14ac:dyDescent="0.2">
      <c r="A17" s="6"/>
      <c r="B17" s="9">
        <v>46197</v>
      </c>
      <c r="C17" s="9">
        <v>46307</v>
      </c>
      <c r="D17" s="6" t="s">
        <v>16</v>
      </c>
      <c r="E17" s="4">
        <v>4000</v>
      </c>
      <c r="F17" s="4"/>
      <c r="G17" s="4"/>
      <c r="K17" s="4"/>
    </row>
    <row r="18" spans="1:11" x14ac:dyDescent="0.2">
      <c r="A18" s="6"/>
      <c r="B18" s="9">
        <v>46213</v>
      </c>
      <c r="C18" s="9">
        <v>46301</v>
      </c>
      <c r="D18" s="6" t="s">
        <v>21</v>
      </c>
      <c r="E18" s="4">
        <v>1750</v>
      </c>
      <c r="F18" s="4"/>
      <c r="G18" s="4"/>
      <c r="K18" s="4"/>
    </row>
    <row r="19" spans="1:11" x14ac:dyDescent="0.2">
      <c r="A19" s="6"/>
      <c r="B19" s="9">
        <v>46220</v>
      </c>
      <c r="C19" s="9">
        <v>46295</v>
      </c>
      <c r="D19" s="6" t="s">
        <v>7</v>
      </c>
      <c r="E19" s="4">
        <v>664.39</v>
      </c>
      <c r="F19" s="4"/>
      <c r="G19" s="4"/>
      <c r="K19" s="4"/>
    </row>
    <row r="20" spans="1:11" x14ac:dyDescent="0.2">
      <c r="A20" s="6"/>
      <c r="B20" s="9">
        <v>46156</v>
      </c>
      <c r="C20" s="9">
        <v>46288</v>
      </c>
      <c r="D20" s="6" t="s">
        <v>12</v>
      </c>
      <c r="E20" s="4">
        <v>550</v>
      </c>
      <c r="F20" s="4"/>
      <c r="G20" s="4"/>
      <c r="K20" s="4"/>
    </row>
    <row r="21" spans="1:11" x14ac:dyDescent="0.2">
      <c r="A21" s="6"/>
      <c r="B21" s="9">
        <v>46212</v>
      </c>
      <c r="C21" s="9">
        <v>46280</v>
      </c>
      <c r="D21" s="6" t="s">
        <v>15</v>
      </c>
      <c r="E21" s="4">
        <v>1750</v>
      </c>
      <c r="F21" s="4"/>
      <c r="G21" s="4"/>
      <c r="K21" s="4"/>
    </row>
    <row r="22" spans="1:11" x14ac:dyDescent="0.2">
      <c r="A22" s="6"/>
      <c r="B22" s="9">
        <v>46225</v>
      </c>
      <c r="C22" s="9">
        <v>46277</v>
      </c>
      <c r="D22" s="6" t="s">
        <v>27</v>
      </c>
      <c r="E22" s="4">
        <v>460</v>
      </c>
      <c r="F22" s="4"/>
      <c r="G22" s="4"/>
      <c r="K22" s="4"/>
    </row>
    <row r="23" spans="1:11" x14ac:dyDescent="0.2">
      <c r="A23" s="6"/>
      <c r="B23" s="9">
        <v>46224</v>
      </c>
      <c r="C23" s="9">
        <v>46261</v>
      </c>
      <c r="D23" s="6" t="s">
        <v>24</v>
      </c>
      <c r="E23" s="4">
        <v>2000</v>
      </c>
      <c r="F23" s="4"/>
      <c r="G23" s="4"/>
      <c r="K23" s="4"/>
    </row>
    <row r="24" spans="1:11" x14ac:dyDescent="0.2">
      <c r="A24" s="6"/>
      <c r="B24" s="9">
        <v>46233</v>
      </c>
      <c r="C24" s="9">
        <v>46260</v>
      </c>
      <c r="D24" s="6" t="s">
        <v>35</v>
      </c>
      <c r="E24" s="4">
        <v>1875</v>
      </c>
      <c r="F24" s="4"/>
      <c r="G24" s="4"/>
      <c r="K24" s="4"/>
    </row>
    <row r="25" spans="1:11" x14ac:dyDescent="0.2">
      <c r="A25" s="6"/>
      <c r="B25" s="9">
        <v>46225</v>
      </c>
      <c r="C25" s="9">
        <v>46259</v>
      </c>
      <c r="D25" s="6" t="s">
        <v>25</v>
      </c>
      <c r="E25" s="4">
        <v>1750</v>
      </c>
      <c r="F25" s="4"/>
      <c r="G25" s="4"/>
      <c r="K25" s="4"/>
    </row>
    <row r="26" spans="1:11" x14ac:dyDescent="0.2">
      <c r="A26" s="6"/>
      <c r="B26" s="9">
        <v>46232</v>
      </c>
      <c r="C26" s="9">
        <v>46259</v>
      </c>
      <c r="D26" s="6" t="s">
        <v>25</v>
      </c>
      <c r="E26" s="4">
        <v>2250</v>
      </c>
      <c r="F26" s="4"/>
      <c r="G26" s="4"/>
      <c r="K26" s="4"/>
    </row>
    <row r="27" spans="1:11" x14ac:dyDescent="0.2">
      <c r="A27" s="6"/>
      <c r="B27" s="9">
        <v>46181</v>
      </c>
      <c r="C27" s="9">
        <v>46252</v>
      </c>
      <c r="D27" s="6" t="s">
        <v>7</v>
      </c>
      <c r="E27" s="4">
        <v>664.39</v>
      </c>
      <c r="F27" s="4"/>
      <c r="G27" s="4"/>
      <c r="K27" s="4"/>
    </row>
    <row r="28" spans="1:11" x14ac:dyDescent="0.2">
      <c r="A28" s="6"/>
      <c r="B28" s="9">
        <v>46234</v>
      </c>
      <c r="C28" s="9">
        <v>46249</v>
      </c>
      <c r="D28" s="6" t="s">
        <v>34</v>
      </c>
      <c r="E28" s="4">
        <v>2250</v>
      </c>
      <c r="F28" s="4"/>
      <c r="G28" s="4"/>
      <c r="K28" s="4"/>
    </row>
    <row r="29" spans="1:11" x14ac:dyDescent="0.2">
      <c r="A29" s="6"/>
      <c r="B29" s="9">
        <v>46232</v>
      </c>
      <c r="C29" s="9">
        <v>46249</v>
      </c>
      <c r="D29" s="6" t="s">
        <v>32</v>
      </c>
      <c r="E29" s="4">
        <v>356</v>
      </c>
      <c r="F29" s="4"/>
      <c r="G29" s="4"/>
      <c r="K29" s="4"/>
    </row>
    <row r="30" spans="1:11" x14ac:dyDescent="0.2">
      <c r="A30" s="6"/>
      <c r="B30" s="9">
        <v>46189</v>
      </c>
      <c r="C30" s="9">
        <v>46245</v>
      </c>
      <c r="D30" s="6" t="s">
        <v>14</v>
      </c>
      <c r="E30" s="4">
        <v>1625</v>
      </c>
      <c r="F30" s="4"/>
      <c r="G30" s="4"/>
      <c r="K30" s="4"/>
    </row>
    <row r="31" spans="1:11" x14ac:dyDescent="0.2">
      <c r="A31" s="6"/>
      <c r="B31" s="9">
        <v>46225</v>
      </c>
      <c r="C31" s="9">
        <v>46242</v>
      </c>
      <c r="D31" s="6" t="s">
        <v>7</v>
      </c>
      <c r="E31" s="4">
        <v>1328.78</v>
      </c>
      <c r="F31" s="4"/>
      <c r="G31" s="4"/>
      <c r="K31" s="4"/>
    </row>
    <row r="32" spans="1:11" x14ac:dyDescent="0.2">
      <c r="A32" s="6"/>
      <c r="B32" s="9">
        <v>46225</v>
      </c>
      <c r="C32" s="9">
        <v>46242</v>
      </c>
      <c r="D32" s="6" t="s">
        <v>26</v>
      </c>
      <c r="E32" s="4">
        <v>621</v>
      </c>
      <c r="F32" s="4"/>
      <c r="G32" s="4"/>
      <c r="K32" s="4"/>
    </row>
    <row r="33" spans="1:11" x14ac:dyDescent="0.2">
      <c r="A33" s="6"/>
      <c r="B33" s="9">
        <v>46231</v>
      </c>
      <c r="C33" s="9">
        <v>46241</v>
      </c>
      <c r="D33" s="6" t="s">
        <v>7</v>
      </c>
      <c r="E33" s="4">
        <v>664.39</v>
      </c>
      <c r="F33" s="4"/>
      <c r="G33" s="4"/>
      <c r="K33" s="4"/>
    </row>
    <row r="34" spans="1:11" x14ac:dyDescent="0.2">
      <c r="A34" s="6"/>
      <c r="B34" s="9">
        <v>46210</v>
      </c>
      <c r="C34" s="9">
        <v>46240</v>
      </c>
      <c r="D34" s="6" t="s">
        <v>20</v>
      </c>
      <c r="E34" s="4">
        <v>1750</v>
      </c>
      <c r="F34" s="4"/>
      <c r="G34" s="4"/>
      <c r="K34" s="4"/>
    </row>
    <row r="35" spans="1:11" x14ac:dyDescent="0.2">
      <c r="A35" s="6"/>
      <c r="B35" s="9">
        <v>46233</v>
      </c>
      <c r="C35" s="9">
        <v>46239</v>
      </c>
      <c r="D35" s="6" t="s">
        <v>7</v>
      </c>
      <c r="E35" s="4">
        <v>430.85</v>
      </c>
      <c r="F35" s="4"/>
      <c r="G35" s="4"/>
      <c r="K35" s="4"/>
    </row>
    <row r="36" spans="1:11" x14ac:dyDescent="0.2">
      <c r="A36" s="6"/>
      <c r="B36" s="9">
        <v>46170</v>
      </c>
      <c r="C36" s="9">
        <v>46238</v>
      </c>
      <c r="D36" s="6" t="s">
        <v>7</v>
      </c>
      <c r="E36" s="4">
        <v>430.85</v>
      </c>
      <c r="F36" s="4"/>
      <c r="G36" s="4"/>
      <c r="H36" s="9"/>
      <c r="I36" s="6"/>
      <c r="J36" s="13"/>
      <c r="K36" s="5"/>
    </row>
    <row r="37" spans="1:11" x14ac:dyDescent="0.2">
      <c r="A37" s="6"/>
      <c r="B37" s="9">
        <v>46213</v>
      </c>
      <c r="C37" s="9">
        <v>46238</v>
      </c>
      <c r="D37" s="6" t="s">
        <v>22</v>
      </c>
      <c r="E37" s="4">
        <v>500</v>
      </c>
      <c r="F37" s="4"/>
      <c r="G37" s="4"/>
      <c r="H37" s="9"/>
      <c r="I37" s="6"/>
      <c r="J37" s="13"/>
      <c r="K37" s="5"/>
    </row>
    <row r="38" spans="1:11" x14ac:dyDescent="0.2">
      <c r="A38" s="6"/>
      <c r="B38" s="9">
        <v>46199</v>
      </c>
      <c r="C38" s="9">
        <v>46237</v>
      </c>
      <c r="D38" s="6" t="s">
        <v>17</v>
      </c>
      <c r="E38" s="4">
        <v>1500</v>
      </c>
      <c r="F38" s="4"/>
      <c r="G38" s="4"/>
      <c r="H38" s="9"/>
      <c r="I38" s="6"/>
      <c r="J38" s="13"/>
      <c r="K38" s="4"/>
    </row>
    <row r="39" spans="1:11" x14ac:dyDescent="0.2">
      <c r="A39" s="6"/>
      <c r="B39" s="9">
        <v>46232</v>
      </c>
      <c r="C39" s="9">
        <v>46236</v>
      </c>
      <c r="D39" s="2" t="s">
        <v>33</v>
      </c>
      <c r="E39" s="4">
        <v>550</v>
      </c>
      <c r="G39" s="4"/>
      <c r="H39" s="9"/>
      <c r="I39" s="6"/>
      <c r="K39" s="4"/>
    </row>
    <row r="40" spans="1:11" x14ac:dyDescent="0.2">
      <c r="A40" s="6"/>
      <c r="B40" s="9">
        <v>46225</v>
      </c>
      <c r="C40" s="9">
        <v>46235</v>
      </c>
      <c r="D40" s="6" t="s">
        <v>28</v>
      </c>
      <c r="E40" s="4">
        <v>660</v>
      </c>
      <c r="F40" s="4"/>
      <c r="G40" s="4"/>
      <c r="H40" s="9"/>
      <c r="I40" s="6"/>
      <c r="J40" s="4"/>
      <c r="K40" s="5"/>
    </row>
    <row r="41" spans="1:11" x14ac:dyDescent="0.2">
      <c r="A41" s="6"/>
      <c r="B41" s="9">
        <v>46233</v>
      </c>
      <c r="C41" s="9">
        <v>46235</v>
      </c>
      <c r="D41" s="6" t="s">
        <v>28</v>
      </c>
      <c r="E41" s="4">
        <v>1139.95</v>
      </c>
      <c r="F41" s="4"/>
      <c r="G41" s="4"/>
      <c r="H41" s="9"/>
      <c r="I41" s="6"/>
      <c r="J41" s="4"/>
      <c r="K41" s="5"/>
    </row>
    <row r="42" spans="1:11" x14ac:dyDescent="0.2">
      <c r="A42" s="6"/>
      <c r="B42" s="9">
        <v>46160</v>
      </c>
      <c r="C42" s="9">
        <v>46235</v>
      </c>
      <c r="D42" s="6" t="s">
        <v>7</v>
      </c>
      <c r="E42" s="4">
        <f>879.81+17.59</f>
        <v>897.4</v>
      </c>
      <c r="F42" s="4"/>
      <c r="G42" s="4"/>
      <c r="H42" s="9"/>
      <c r="I42" s="6"/>
      <c r="K42" s="5"/>
    </row>
    <row r="43" spans="1:11" x14ac:dyDescent="0.2">
      <c r="A43" s="6"/>
      <c r="B43" s="9"/>
      <c r="C43" s="9"/>
      <c r="D43" s="6"/>
      <c r="F43" s="4"/>
      <c r="G43" s="4"/>
      <c r="H43" s="9"/>
      <c r="I43" s="6"/>
      <c r="K43" s="5"/>
    </row>
    <row r="44" spans="1:11" x14ac:dyDescent="0.2">
      <c r="A44" s="6"/>
      <c r="B44" s="9"/>
      <c r="C44" s="9"/>
      <c r="F44" s="4"/>
      <c r="G44" s="4"/>
      <c r="K44" s="4"/>
    </row>
    <row r="45" spans="1:11" x14ac:dyDescent="0.2">
      <c r="A45" s="6"/>
      <c r="B45" s="9"/>
      <c r="C45" s="9"/>
      <c r="F45" s="4"/>
      <c r="G45" s="4"/>
      <c r="K45" s="4"/>
    </row>
    <row r="46" spans="1:11" s="6" customFormat="1" x14ac:dyDescent="0.2">
      <c r="B46" s="9"/>
      <c r="C46" s="9"/>
      <c r="G46" s="8"/>
    </row>
    <row r="47" spans="1:11" s="6" customFormat="1" x14ac:dyDescent="0.2">
      <c r="B47" s="9"/>
      <c r="C47" s="9"/>
      <c r="G47" s="8"/>
    </row>
    <row r="48" spans="1:11" x14ac:dyDescent="0.2">
      <c r="B48" s="9"/>
      <c r="C48" s="9"/>
      <c r="E48" s="2"/>
    </row>
    <row r="49" spans="1:15" ht="13.5" thickBot="1" x14ac:dyDescent="0.25">
      <c r="A49" s="6"/>
      <c r="B49" s="9"/>
      <c r="C49" s="9"/>
      <c r="E49" s="14">
        <f>SUM(E7:E43)</f>
        <v>79668</v>
      </c>
      <c r="F49" s="6"/>
      <c r="G49" s="6"/>
      <c r="H49" s="9"/>
      <c r="J49" s="14">
        <f>SUM(J8:J48)</f>
        <v>0</v>
      </c>
    </row>
    <row r="50" spans="1:15" ht="13.5" thickTop="1" x14ac:dyDescent="0.2">
      <c r="B50" s="9"/>
      <c r="C50" s="9"/>
      <c r="H50" s="9"/>
    </row>
    <row r="51" spans="1:15" x14ac:dyDescent="0.2">
      <c r="B51" s="9"/>
      <c r="C51" s="9"/>
      <c r="F51" s="10"/>
      <c r="G51" s="10"/>
      <c r="H51" s="9"/>
      <c r="L51" s="10"/>
      <c r="N51" s="10"/>
      <c r="O51" s="10"/>
    </row>
    <row r="52" spans="1:15" x14ac:dyDescent="0.2">
      <c r="B52" s="9"/>
      <c r="C52" s="9"/>
      <c r="H52" s="9"/>
    </row>
    <row r="53" spans="1:15" x14ac:dyDescent="0.2">
      <c r="B53" s="9"/>
      <c r="C53" s="9"/>
      <c r="E53" s="2"/>
      <c r="H53" s="9"/>
      <c r="J53" s="11"/>
    </row>
    <row r="54" spans="1:15" ht="15" x14ac:dyDescent="0.25">
      <c r="F54"/>
      <c r="G54"/>
      <c r="H54" s="9"/>
      <c r="J54" s="4"/>
    </row>
    <row r="55" spans="1:15" ht="15" x14ac:dyDescent="0.25">
      <c r="F55"/>
      <c r="G55"/>
      <c r="H55"/>
      <c r="I55"/>
      <c r="J55" s="12"/>
    </row>
    <row r="56" spans="1:15" ht="15" x14ac:dyDescent="0.25">
      <c r="F56"/>
      <c r="G56"/>
      <c r="H56"/>
      <c r="I56"/>
      <c r="J56"/>
    </row>
    <row r="57" spans="1:15" ht="15" x14ac:dyDescent="0.25">
      <c r="F57"/>
      <c r="G57"/>
      <c r="H57"/>
      <c r="I57"/>
      <c r="J57"/>
    </row>
    <row r="58" spans="1:15" s="4" customFormat="1" x14ac:dyDescent="0.2">
      <c r="A58" s="2"/>
      <c r="B58" s="2"/>
      <c r="C58" s="2"/>
      <c r="D58" s="2"/>
      <c r="F58" s="2"/>
      <c r="G58" s="2"/>
      <c r="H58" s="2"/>
      <c r="I58" s="2"/>
      <c r="J58" s="5"/>
      <c r="K58" s="2"/>
      <c r="L58" s="2"/>
      <c r="M58" s="2"/>
      <c r="N58" s="2"/>
      <c r="O58" s="2"/>
    </row>
    <row r="59" spans="1:15" x14ac:dyDescent="0.2">
      <c r="E59" s="10"/>
    </row>
    <row r="60" spans="1:15" x14ac:dyDescent="0.2">
      <c r="E60" s="2"/>
    </row>
    <row r="61" spans="1:15" x14ac:dyDescent="0.2">
      <c r="E61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835882F1A83E4BA458C79A4AE9DA14" ma:contentTypeVersion="4" ma:contentTypeDescription="Create a new document." ma:contentTypeScope="" ma:versionID="ed139242c0767d72bc8f0f7482be411f">
  <xsd:schema xmlns:xsd="http://www.w3.org/2001/XMLSchema" xmlns:xs="http://www.w3.org/2001/XMLSchema" xmlns:p="http://schemas.microsoft.com/office/2006/metadata/properties" xmlns:ns2="cbbeb9b1-4d81-4082-9b0d-628a313f0b36" targetNamespace="http://schemas.microsoft.com/office/2006/metadata/properties" ma:root="true" ma:fieldsID="9fa048f2ac2144cfc491cb922c165e0f" ns2:_="">
    <xsd:import namespace="cbbeb9b1-4d81-4082-9b0d-628a313f0b3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beb9b1-4d81-4082-9b0d-628a313f0b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C122361-6EA3-4CC9-B5C3-3097C34AED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bbeb9b1-4d81-4082-9b0d-628a313f0b3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38C816B-C58C-4F77-8ABE-146F9D18DC5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B047D6E-781A-4703-A522-821912B0387A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Oct'26</vt:lpstr>
      <vt:lpstr>10.18</vt:lpstr>
      <vt:lpstr>10.11</vt:lpstr>
      <vt:lpstr>10.4</vt:lpstr>
      <vt:lpstr>Sept'26</vt:lpstr>
      <vt:lpstr>9.30</vt:lpstr>
      <vt:lpstr>9.27</vt:lpstr>
      <vt:lpstr>9.20</vt:lpstr>
      <vt:lpstr>9.13</vt:lpstr>
      <vt:lpstr>9.6</vt:lpstr>
      <vt:lpstr>Aug'26</vt:lpstr>
      <vt:lpstr>8.31</vt:lpstr>
      <vt:lpstr>8.27</vt:lpstr>
      <vt:lpstr>8.22</vt:lpstr>
      <vt:lpstr>8.16</vt:lpstr>
      <vt:lpstr>8.12</vt:lpstr>
      <vt:lpstr>8.5</vt:lpstr>
      <vt:lpstr>July'26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Patricia Tucci</dc:creator>
  <cp:keywords/>
  <dc:description/>
  <cp:lastModifiedBy>Tricia Laroche</cp:lastModifiedBy>
  <cp:revision/>
  <cp:lastPrinted>2026-05-09T15:22:38Z</cp:lastPrinted>
  <dcterms:created xsi:type="dcterms:W3CDTF">2024-02-09T06:20:53Z</dcterms:created>
  <dcterms:modified xsi:type="dcterms:W3CDTF">2026-10-20T17:09:01Z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0x010100CE835882F1A83E4BA458C79A4AE9DA14</vt:lpwstr>
  </property>
</Properties>
</file>