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illipchristensen-ames/Library/CloudStorage/GoogleDrive-phil@bowerygroupnyc.com/Shared drives/PAYROLL/1 - WEEKLY RESTAURANTS/7 - LABOR ALLOCATION WORKSHEETS/"/>
    </mc:Choice>
  </mc:AlternateContent>
  <xr:revisionPtr revIDLastSave="0" documentId="13_ncr:1_{811E3FA8-D62A-9949-96AB-D081B510A775}" xr6:coauthVersionLast="47" xr6:coauthVersionMax="47" xr10:uidLastSave="{00000000-0000-0000-0000-000000000000}"/>
  <bookViews>
    <workbookView xWindow="3940" yWindow="780" windowWidth="26060" windowHeight="15820" xr2:uid="{B0D8C3E9-9E9F-4CEB-BD3E-FAD275EF0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8" i="1" l="1"/>
  <c r="G37" i="1"/>
  <c r="G36" i="1"/>
  <c r="G35" i="1"/>
  <c r="G34" i="1"/>
  <c r="G33" i="1"/>
  <c r="F38" i="1"/>
  <c r="F37" i="1"/>
  <c r="F36" i="1"/>
  <c r="F35" i="1"/>
  <c r="F34" i="1"/>
  <c r="F33" i="1"/>
  <c r="H37" i="1" l="1"/>
  <c r="H35" i="1"/>
  <c r="H36" i="1"/>
  <c r="H33" i="1"/>
  <c r="H38" i="1"/>
  <c r="H34" i="1"/>
  <c r="G45" i="1" l="1"/>
  <c r="F45" i="1"/>
  <c r="F44" i="1"/>
  <c r="G44" i="1"/>
  <c r="F46" i="1"/>
  <c r="G46" i="1"/>
  <c r="F42" i="1"/>
  <c r="G42" i="1"/>
  <c r="G47" i="1"/>
  <c r="F47" i="1"/>
  <c r="G43" i="1"/>
  <c r="F43" i="1"/>
  <c r="G48" i="1" l="1"/>
  <c r="F48" i="1"/>
</calcChain>
</file>

<file path=xl/sharedStrings.xml><?xml version="1.0" encoding="utf-8"?>
<sst xmlns="http://schemas.openxmlformats.org/spreadsheetml/2006/main" count="48" uniqueCount="24">
  <si>
    <t>Bowery Group</t>
  </si>
  <si>
    <t>Weekly Payroll Allocation</t>
  </si>
  <si>
    <t>Pay Week Ending</t>
  </si>
  <si>
    <t>Cookshop</t>
  </si>
  <si>
    <t>Shuka</t>
  </si>
  <si>
    <t>Rosie's</t>
  </si>
  <si>
    <t>Vic's</t>
  </si>
  <si>
    <t>Shukette</t>
  </si>
  <si>
    <t>Employee Name</t>
  </si>
  <si>
    <t>Wages Paid</t>
  </si>
  <si>
    <t>Location Paid From</t>
  </si>
  <si>
    <t>Position to Allocate to</t>
  </si>
  <si>
    <t>Location to Allocate to</t>
  </si>
  <si>
    <t>Position Paid Under *</t>
  </si>
  <si>
    <t>* Note that for tipped employees, wages and tips should be broken out</t>
  </si>
  <si>
    <t>Debit</t>
  </si>
  <si>
    <t>Credit</t>
  </si>
  <si>
    <t>Net</t>
  </si>
  <si>
    <t>Payroll Taxes Allocation</t>
  </si>
  <si>
    <t>250 - MANAGEMENT</t>
  </si>
  <si>
    <t>251 - KITCHEN</t>
  </si>
  <si>
    <t xml:space="preserve">FOH MANAGEMENT </t>
  </si>
  <si>
    <t>BOH MANAGEMENT</t>
  </si>
  <si>
    <t xml:space="preserve">Amanda Ryskamp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</si>
</sst>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/d/yy;@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44" fontId="0" fillId="0" borderId="0" xfId="0" applyNumberFormat="1"/>
    <xf numFmtId="0" fontId="3" fillId="0" borderId="0" xfId="0" applyFont="1"/>
    <xf numFmtId="0" fontId="0" fillId="3" borderId="0" xfId="0" applyFill="1"/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44" fontId="4" fillId="0" borderId="0" xfId="0" applyNumberFormat="1" applyFont="1" applyAlignment="1">
      <alignment horizontal="center"/>
    </xf>
    <xf numFmtId="0" fontId="5" fillId="0" borderId="0" xfId="0" applyFont="1"/>
    <xf numFmtId="44" fontId="0" fillId="0" borderId="0" xfId="1" applyFont="1"/>
    <xf numFmtId="44" fontId="4" fillId="0" borderId="0" xfId="0" applyNumberFormat="1" applyFont="1" applyAlignment="1">
      <alignment horizontal="left"/>
    </xf>
    <xf numFmtId="44" fontId="4" fillId="0" borderId="1" xfId="0" applyNumberFormat="1" applyFont="1" applyBorder="1" applyAlignment="1">
      <alignment horizontal="left"/>
    </xf>
    <xf numFmtId="0" fontId="0" fillId="2" borderId="2" xfId="0" applyFill="1" applyBorder="1"/>
    <xf numFmtId="44" fontId="0" fillId="2" borderId="2" xfId="0" applyNumberFormat="1" applyFill="1" applyBorder="1"/>
    <xf numFmtId="164" fontId="0" fillId="2" borderId="0" xfId="0" applyNumberForma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3F4F-F7D7-493F-80CF-75FAAB1DBF34}">
  <dimension ref="B2:K48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J18" sqref="J18"/>
    </sheetView>
  </sheetViews>
  <sheetFormatPr baseColWidth="10" defaultColWidth="8.83203125" defaultRowHeight="15" outlineLevelRow="1" x14ac:dyDescent="0.2"/>
  <cols>
    <col min="2" max="2" width="6.1640625" customWidth="1"/>
    <col min="3" max="3" width="21.83203125" customWidth="1"/>
    <col min="4" max="4" width="11.5" customWidth="1"/>
    <col min="5" max="8" width="15.83203125" customWidth="1"/>
    <col min="10" max="10" width="15" customWidth="1"/>
    <col min="11" max="11" width="17.6640625" customWidth="1"/>
  </cols>
  <sheetData>
    <row r="2" spans="2:11" x14ac:dyDescent="0.2">
      <c r="B2" s="1" t="s">
        <v>0</v>
      </c>
      <c r="E2" t="s">
        <v>14</v>
      </c>
      <c r="J2" s="5" t="s">
        <v>3</v>
      </c>
    </row>
    <row r="3" spans="2:11" x14ac:dyDescent="0.2">
      <c r="B3" s="1" t="s">
        <v>1</v>
      </c>
      <c r="J3" s="5" t="s">
        <v>4</v>
      </c>
      <c r="K3" s="5" t="s">
        <v>19</v>
      </c>
    </row>
    <row r="4" spans="2:11" x14ac:dyDescent="0.2">
      <c r="B4" s="1" t="s">
        <v>2</v>
      </c>
      <c r="D4" s="16">
        <v>46299</v>
      </c>
      <c r="J4" s="5" t="s">
        <v>5</v>
      </c>
      <c r="K4" s="5" t="s">
        <v>20</v>
      </c>
    </row>
    <row r="5" spans="2:11" x14ac:dyDescent="0.2">
      <c r="J5" s="5" t="s">
        <v>6</v>
      </c>
    </row>
    <row r="6" spans="2:11" x14ac:dyDescent="0.2">
      <c r="J6" s="5" t="s">
        <v>7</v>
      </c>
    </row>
    <row r="7" spans="2:11" ht="32" x14ac:dyDescent="0.2">
      <c r="C7" s="2" t="s">
        <v>8</v>
      </c>
      <c r="D7" s="2" t="s">
        <v>9</v>
      </c>
      <c r="E7" s="3" t="s">
        <v>13</v>
      </c>
      <c r="F7" s="3" t="s">
        <v>10</v>
      </c>
      <c r="G7" s="3" t="s">
        <v>11</v>
      </c>
      <c r="H7" s="3" t="s">
        <v>12</v>
      </c>
      <c r="J7" s="5" t="s">
        <v>0</v>
      </c>
    </row>
    <row r="9" spans="2:11" x14ac:dyDescent="0.2">
      <c r="C9" s="14" t="s">
        <v>23</v>
      </c>
      <c r="D9" s="15">
        <v>458.79</v>
      </c>
      <c r="E9" s="14" t="s">
        <v>21</v>
      </c>
      <c r="F9" s="14" t="s">
        <v>6</v>
      </c>
      <c r="G9" s="14" t="s">
        <v>21</v>
      </c>
      <c r="H9" s="14" t="s">
        <v>3</v>
      </c>
      <c r="K9" t="s">
        <v>21</v>
      </c>
    </row>
    <row r="10" spans="2:11" x14ac:dyDescent="0.2">
      <c r="C10" s="14" t="s">
        <v>23</v>
      </c>
      <c r="D10" s="15">
        <v>51.3</v>
      </c>
      <c r="E10" s="14" t="s">
        <v>21</v>
      </c>
      <c r="F10" s="14" t="s">
        <v>6</v>
      </c>
      <c r="G10" s="14" t="s">
        <v>21</v>
      </c>
      <c r="H10" s="14" t="s">
        <v>5</v>
      </c>
      <c r="K10" t="s">
        <v>22</v>
      </c>
    </row>
    <row r="11" spans="2:11" x14ac:dyDescent="0.2">
      <c r="C11" s="14"/>
      <c r="D11" s="15"/>
      <c r="E11" s="14"/>
      <c r="F11" s="14"/>
      <c r="G11" s="14"/>
      <c r="H11" s="14"/>
    </row>
    <row r="12" spans="2:11" x14ac:dyDescent="0.2">
      <c r="C12" s="14"/>
      <c r="D12" s="15"/>
      <c r="E12" s="14"/>
      <c r="F12" s="14"/>
      <c r="G12" s="14"/>
      <c r="H12" s="14"/>
    </row>
    <row r="13" spans="2:11" x14ac:dyDescent="0.2">
      <c r="C13" s="14"/>
      <c r="D13" s="15"/>
      <c r="E13" s="14"/>
      <c r="F13" s="14"/>
      <c r="G13" s="14"/>
      <c r="H13" s="14"/>
    </row>
    <row r="14" spans="2:11" x14ac:dyDescent="0.2">
      <c r="C14" s="14"/>
      <c r="D14" s="15"/>
      <c r="E14" s="14"/>
      <c r="F14" s="14"/>
      <c r="G14" s="14"/>
      <c r="H14" s="14"/>
    </row>
    <row r="15" spans="2:11" x14ac:dyDescent="0.2">
      <c r="C15" s="14"/>
      <c r="D15" s="15"/>
      <c r="E15" s="14"/>
      <c r="F15" s="14"/>
      <c r="G15" s="14"/>
      <c r="H15" s="14"/>
    </row>
    <row r="16" spans="2:11" x14ac:dyDescent="0.2">
      <c r="C16" s="14"/>
      <c r="D16" s="15"/>
      <c r="E16" s="14"/>
      <c r="F16" s="14"/>
      <c r="G16" s="14"/>
      <c r="H16" s="14"/>
    </row>
    <row r="17" spans="3:8" x14ac:dyDescent="0.2">
      <c r="C17" s="14"/>
      <c r="D17" s="15"/>
      <c r="E17" s="14"/>
      <c r="F17" s="14"/>
      <c r="G17" s="14"/>
      <c r="H17" s="14"/>
    </row>
    <row r="18" spans="3:8" x14ac:dyDescent="0.2">
      <c r="C18" s="14"/>
      <c r="D18" s="15"/>
      <c r="E18" s="14"/>
      <c r="F18" s="14"/>
      <c r="G18" s="14"/>
      <c r="H18" s="14"/>
    </row>
    <row r="19" spans="3:8" x14ac:dyDescent="0.2">
      <c r="C19" s="14"/>
      <c r="D19" s="15"/>
      <c r="E19" s="14"/>
      <c r="F19" s="14"/>
      <c r="G19" s="14"/>
      <c r="H19" s="14"/>
    </row>
    <row r="20" spans="3:8" x14ac:dyDescent="0.2">
      <c r="C20" s="14"/>
      <c r="D20" s="15"/>
      <c r="E20" s="14"/>
      <c r="F20" s="14"/>
      <c r="G20" s="14"/>
      <c r="H20" s="14"/>
    </row>
    <row r="21" spans="3:8" x14ac:dyDescent="0.2">
      <c r="C21" s="14"/>
      <c r="D21" s="15"/>
      <c r="E21" s="14"/>
      <c r="F21" s="14"/>
      <c r="G21" s="14"/>
      <c r="H21" s="14"/>
    </row>
    <row r="22" spans="3:8" x14ac:dyDescent="0.2">
      <c r="C22" s="14"/>
      <c r="D22" s="15"/>
      <c r="E22" s="14"/>
      <c r="F22" s="14"/>
      <c r="G22" s="14"/>
      <c r="H22" s="14"/>
    </row>
    <row r="23" spans="3:8" x14ac:dyDescent="0.2">
      <c r="C23" s="14"/>
      <c r="D23" s="15"/>
      <c r="E23" s="14"/>
      <c r="F23" s="14"/>
      <c r="G23" s="14"/>
      <c r="H23" s="14"/>
    </row>
    <row r="24" spans="3:8" x14ac:dyDescent="0.2">
      <c r="C24" s="14"/>
      <c r="D24" s="15"/>
      <c r="E24" s="14"/>
      <c r="F24" s="14"/>
      <c r="G24" s="14"/>
      <c r="H24" s="14"/>
    </row>
    <row r="25" spans="3:8" x14ac:dyDescent="0.2">
      <c r="C25" s="14"/>
      <c r="D25" s="15"/>
      <c r="E25" s="14"/>
      <c r="F25" s="14"/>
      <c r="G25" s="14"/>
      <c r="H25" s="14"/>
    </row>
    <row r="26" spans="3:8" x14ac:dyDescent="0.2">
      <c r="C26" s="14"/>
      <c r="D26" s="15"/>
      <c r="E26" s="14"/>
      <c r="F26" s="14"/>
      <c r="G26" s="14"/>
      <c r="H26" s="14"/>
    </row>
    <row r="28" spans="3:8" ht="4.75" customHeight="1" x14ac:dyDescent="0.2">
      <c r="C28" s="6"/>
      <c r="D28" s="6"/>
      <c r="E28" s="6"/>
      <c r="F28" s="6"/>
      <c r="G28" s="6"/>
      <c r="H28" s="6"/>
    </row>
    <row r="30" spans="3:8" hidden="1" outlineLevel="1" x14ac:dyDescent="0.2"/>
    <row r="31" spans="3:8" hidden="1" outlineLevel="1" x14ac:dyDescent="0.2">
      <c r="F31" s="7" t="s">
        <v>15</v>
      </c>
      <c r="G31" s="8" t="s">
        <v>16</v>
      </c>
      <c r="H31" s="9" t="s">
        <v>17</v>
      </c>
    </row>
    <row r="32" spans="3:8" hidden="1" outlineLevel="1" x14ac:dyDescent="0.2"/>
    <row r="33" spans="3:8" hidden="1" outlineLevel="1" x14ac:dyDescent="0.2">
      <c r="E33" s="10" t="s">
        <v>3</v>
      </c>
      <c r="F33" s="11">
        <f t="shared" ref="F33:F38" si="0">SUMIF($H$9:$H$27,$E33,$D$9:$D$27)</f>
        <v>458.79</v>
      </c>
      <c r="G33" s="11">
        <f t="shared" ref="G33:G38" si="1">SUMIF($F$9:$F$27,$E33,$D$9:$D$27)</f>
        <v>0</v>
      </c>
      <c r="H33" s="11">
        <f t="shared" ref="H33:H38" si="2">F33-G33</f>
        <v>458.79</v>
      </c>
    </row>
    <row r="34" spans="3:8" hidden="1" outlineLevel="1" x14ac:dyDescent="0.2">
      <c r="E34" s="10" t="s">
        <v>4</v>
      </c>
      <c r="F34" s="11">
        <f t="shared" si="0"/>
        <v>0</v>
      </c>
      <c r="G34" s="11">
        <f t="shared" si="1"/>
        <v>0</v>
      </c>
      <c r="H34" s="11">
        <f t="shared" si="2"/>
        <v>0</v>
      </c>
    </row>
    <row r="35" spans="3:8" hidden="1" outlineLevel="1" x14ac:dyDescent="0.2">
      <c r="E35" s="10" t="s">
        <v>5</v>
      </c>
      <c r="F35" s="11">
        <f t="shared" si="0"/>
        <v>51.3</v>
      </c>
      <c r="G35" s="11">
        <f t="shared" si="1"/>
        <v>0</v>
      </c>
      <c r="H35" s="11">
        <f t="shared" si="2"/>
        <v>51.3</v>
      </c>
    </row>
    <row r="36" spans="3:8" hidden="1" outlineLevel="1" x14ac:dyDescent="0.2">
      <c r="E36" s="10" t="s">
        <v>6</v>
      </c>
      <c r="F36" s="11">
        <f t="shared" si="0"/>
        <v>0</v>
      </c>
      <c r="G36" s="11">
        <f t="shared" si="1"/>
        <v>510.09000000000003</v>
      </c>
      <c r="H36" s="11">
        <f t="shared" si="2"/>
        <v>-510.09000000000003</v>
      </c>
    </row>
    <row r="37" spans="3:8" hidden="1" outlineLevel="1" x14ac:dyDescent="0.2">
      <c r="E37" s="10" t="s">
        <v>7</v>
      </c>
      <c r="F37" s="11">
        <f t="shared" si="0"/>
        <v>0</v>
      </c>
      <c r="G37" s="11">
        <f t="shared" si="1"/>
        <v>0</v>
      </c>
      <c r="H37" s="11">
        <f t="shared" si="2"/>
        <v>0</v>
      </c>
    </row>
    <row r="38" spans="3:8" hidden="1" outlineLevel="1" x14ac:dyDescent="0.2">
      <c r="E38" s="10" t="s">
        <v>0</v>
      </c>
      <c r="F38" s="11">
        <f t="shared" si="0"/>
        <v>0</v>
      </c>
      <c r="G38" s="11">
        <f t="shared" si="1"/>
        <v>0</v>
      </c>
      <c r="H38" s="11">
        <f t="shared" si="2"/>
        <v>0</v>
      </c>
    </row>
    <row r="39" spans="3:8" hidden="1" outlineLevel="1" x14ac:dyDescent="0.2">
      <c r="E39" s="10"/>
      <c r="F39" s="11"/>
      <c r="G39" s="11"/>
      <c r="H39" s="11"/>
    </row>
    <row r="40" spans="3:8" hidden="1" outlineLevel="1" x14ac:dyDescent="0.2"/>
    <row r="41" spans="3:8" collapsed="1" x14ac:dyDescent="0.2">
      <c r="C41" t="s">
        <v>18</v>
      </c>
      <c r="F41" s="2" t="s">
        <v>15</v>
      </c>
      <c r="G41" s="2" t="s">
        <v>16</v>
      </c>
    </row>
    <row r="42" spans="3:8" x14ac:dyDescent="0.2">
      <c r="E42" s="10" t="s">
        <v>3</v>
      </c>
      <c r="F42" s="12">
        <f t="shared" ref="F42:F47" si="3">IF($H33&gt;0,H33*0.0765,0)</f>
        <v>35.097435000000004</v>
      </c>
      <c r="G42" s="12">
        <f t="shared" ref="G42:G47" si="4">IF($H33&lt;0,-H33*0.0765,0)</f>
        <v>0</v>
      </c>
    </row>
    <row r="43" spans="3:8" x14ac:dyDescent="0.2">
      <c r="E43" s="10" t="s">
        <v>4</v>
      </c>
      <c r="F43" s="12">
        <f t="shared" si="3"/>
        <v>0</v>
      </c>
      <c r="G43" s="12">
        <f t="shared" si="4"/>
        <v>0</v>
      </c>
    </row>
    <row r="44" spans="3:8" x14ac:dyDescent="0.2">
      <c r="E44" s="10" t="s">
        <v>5</v>
      </c>
      <c r="F44" s="12">
        <f t="shared" si="3"/>
        <v>3.9244499999999998</v>
      </c>
      <c r="G44" s="12">
        <f t="shared" si="4"/>
        <v>0</v>
      </c>
    </row>
    <row r="45" spans="3:8" x14ac:dyDescent="0.2">
      <c r="E45" s="10" t="s">
        <v>6</v>
      </c>
      <c r="F45" s="12">
        <f t="shared" si="3"/>
        <v>0</v>
      </c>
      <c r="G45" s="12">
        <f t="shared" si="4"/>
        <v>39.021885000000005</v>
      </c>
    </row>
    <row r="46" spans="3:8" x14ac:dyDescent="0.2">
      <c r="E46" s="10" t="s">
        <v>7</v>
      </c>
      <c r="F46" s="12">
        <f t="shared" si="3"/>
        <v>0</v>
      </c>
      <c r="G46" s="12">
        <f t="shared" si="4"/>
        <v>0</v>
      </c>
    </row>
    <row r="47" spans="3:8" x14ac:dyDescent="0.2">
      <c r="E47" s="10" t="s">
        <v>0</v>
      </c>
      <c r="F47" s="13">
        <f t="shared" si="3"/>
        <v>0</v>
      </c>
      <c r="G47" s="13">
        <f t="shared" si="4"/>
        <v>0</v>
      </c>
    </row>
    <row r="48" spans="3:8" x14ac:dyDescent="0.2">
      <c r="F48" s="4">
        <f>SUM(F42:F47)</f>
        <v>39.021885000000005</v>
      </c>
      <c r="G48" s="4">
        <f>SUM(G42:G47)</f>
        <v>39.021885000000005</v>
      </c>
    </row>
  </sheetData>
  <dataValidations count="2">
    <dataValidation type="list" allowBlank="1" showInputMessage="1" showErrorMessage="1" sqref="F9:F27 H9:H27" xr:uid="{6C18BB9F-5861-4788-8222-0B4AF21B9B64}">
      <formula1>$J$2:$J$7</formula1>
    </dataValidation>
    <dataValidation type="list" allowBlank="1" showInputMessage="1" showErrorMessage="1" sqref="E9:E26 G9:G26" xr:uid="{F78F633F-FB21-3B42-99B3-6A6FED066995}">
      <formula1>$K$9:$K$15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AB6D4B2B2854DA6E70524437CBFB9" ma:contentTypeVersion="3" ma:contentTypeDescription="Create a new document." ma:contentTypeScope="" ma:versionID="4e1e9b23ec8477809d7d6a3df41e68e8">
  <xsd:schema xmlns:xsd="http://www.w3.org/2001/XMLSchema" xmlns:xs="http://www.w3.org/2001/XMLSchema" xmlns:p="http://schemas.microsoft.com/office/2006/metadata/properties" xmlns:ns2="b781e349-db99-4858-a437-9b8464d54e7e" targetNamespace="http://schemas.microsoft.com/office/2006/metadata/properties" ma:root="true" ma:fieldsID="26039379dd5582092250119516eaa221" ns2:_="">
    <xsd:import namespace="b781e349-db99-4858-a437-9b8464d54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1e349-db99-4858-a437-9b8464d54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C83F1C-05A6-4DD5-9F4B-2AABBEFD1914}"/>
</file>

<file path=customXml/itemProps2.xml><?xml version="1.0" encoding="utf-8"?>
<ds:datastoreItem xmlns:ds="http://schemas.openxmlformats.org/officeDocument/2006/customXml" ds:itemID="{518C4223-2BFC-4FFB-9B20-351415AF4F2B}"/>
</file>

<file path=customXml/itemProps3.xml><?xml version="1.0" encoding="utf-8"?>
<ds:datastoreItem xmlns:ds="http://schemas.openxmlformats.org/officeDocument/2006/customXml" ds:itemID="{9F0A04B8-D52F-4506-913A-552D079676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Hochhauser</dc:creator>
  <cp:lastModifiedBy>Stephanie Restaurant</cp:lastModifiedBy>
  <dcterms:created xsi:type="dcterms:W3CDTF">2026-08-13T15:37:10Z</dcterms:created>
  <dcterms:modified xsi:type="dcterms:W3CDTF">2026-10-07T22:19:21Z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0x0101005E8AB6D4B2B2854DA6E70524437CBFB9</vt:lpwstr>
  </property>
</Properties>
</file>