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oncallrest-my.sharepoint.com/personal/rleong_ocra-us_com/Documents/Documents/NORMS/Banking/Change Order/Weekly Reports/"/>
    </mc:Choice>
  </mc:AlternateContent>
  <xr:revisionPtr revIDLastSave="0" documentId="8_{D603B95E-B4BE-4817-8C8B-A635E1027EA0}" xr6:coauthVersionLast="47" xr6:coauthVersionMax="47" xr10:uidLastSave="{00000000-0000-0000-0000-000000000000}"/>
  <workbookProtection workbookAlgorithmName="SHA-512" workbookHashValue="AC+gTSb81DHjAawtscTkkotpX90ne7xBLCFATjlfm8R1DNMhPfCwNCvcFs8qg0rHJGjw1YerhZv49iuyu43Aag==" workbookSaltValue="+XLOoczzewzHR3LLk+Jr0A==" workbookSpinCount="100000" lockStructure="1"/>
  <bookViews>
    <workbookView xWindow="28680" yWindow="1590" windowWidth="29040" windowHeight="15720" tabRatio="943" firstSheet="12" xr2:uid="{DD996180-6B6B-4015-9982-3EF706BC334E}"/>
  </bookViews>
  <sheets>
    <sheet name="AN" sheetId="1" r:id="rId1"/>
    <sheet name="CL" sheetId="3" r:id="rId2"/>
    <sheet name="CM" sheetId="4" r:id="rId3"/>
    <sheet name="CR" sheetId="5" r:id="rId4"/>
    <sheet name="DN" sheetId="6" r:id="rId5"/>
    <sheet name="EM" sheetId="7" r:id="rId6"/>
    <sheet name="HW" sheetId="9" r:id="rId7"/>
    <sheet name="HB" sheetId="8" r:id="rId8"/>
    <sheet name="IG" sheetId="10" r:id="rId9"/>
    <sheet name="LC" sheetId="11" r:id="rId10"/>
    <sheet name="LK" sheetId="12" r:id="rId11"/>
    <sheet name="LV" sheetId="13" r:id="rId12"/>
    <sheet name="ON" sheetId="14" r:id="rId13"/>
    <sheet name="OR" sheetId="15" r:id="rId14"/>
    <sheet name="PR" sheetId="16" r:id="rId15"/>
    <sheet name="RL" sheetId="17" r:id="rId16"/>
    <sheet name="RV" sheetId="18" r:id="rId17"/>
    <sheet name="SA" sheetId="19" r:id="rId18"/>
    <sheet name="SL" sheetId="20" r:id="rId19"/>
    <sheet name="ST" sheetId="21" r:id="rId20"/>
    <sheet name="TO" sheetId="22" r:id="rId21"/>
    <sheet name="VN" sheetId="23" r:id="rId22"/>
    <sheet name="WC" sheetId="24" r:id="rId23"/>
    <sheet name="WH" sheetId="25" r:id="rId24"/>
    <sheet name="Control" sheetId="2" r:id="rId25"/>
  </sheets>
  <definedNames>
    <definedName name="_xlnm.Print_Area" localSheetId="0">AN!$A$1:$I$45</definedName>
    <definedName name="_xlnm.Print_Area" localSheetId="1">CL!$A$1:$I$45</definedName>
    <definedName name="_xlnm.Print_Area" localSheetId="2">CM!$A$1:$I$45</definedName>
    <definedName name="_xlnm.Print_Area" localSheetId="3">CR!$A$1:$I$45</definedName>
    <definedName name="_xlnm.Print_Area" localSheetId="4">DN!$I$1:$AQ$45</definedName>
    <definedName name="_xlnm.Print_Area" localSheetId="5">EM!$A$1:$I$45</definedName>
    <definedName name="_xlnm.Print_Area" localSheetId="7">HB!$A$1:$I$45</definedName>
    <definedName name="_xlnm.Print_Area" localSheetId="6">HW!$A$1:$I$45</definedName>
    <definedName name="_xlnm.Print_Area" localSheetId="8">IG!$A$1:$I$45</definedName>
    <definedName name="_xlnm.Print_Area" localSheetId="9">LC!$A$1:$I$45</definedName>
    <definedName name="_xlnm.Print_Area" localSheetId="10">LK!$A$1:$I$45</definedName>
    <definedName name="_xlnm.Print_Area" localSheetId="11">LV!$A$1:$I$45</definedName>
    <definedName name="_xlnm.Print_Area" localSheetId="12">ON!$A$1:$I$45</definedName>
    <definedName name="_xlnm.Print_Area" localSheetId="13">OR!$A$1:$I$45</definedName>
    <definedName name="_xlnm.Print_Area" localSheetId="14">PR!$A$1:$I$45</definedName>
    <definedName name="_xlnm.Print_Area" localSheetId="15">RL!$A$1:$I$45</definedName>
    <definedName name="_xlnm.Print_Area" localSheetId="16">RV!$A$1:$I$45</definedName>
    <definedName name="_xlnm.Print_Area" localSheetId="17">SA!$A$1:$I$45</definedName>
    <definedName name="_xlnm.Print_Area" localSheetId="18">SL!$A$1:$I$45</definedName>
    <definedName name="_xlnm.Print_Area" localSheetId="19">ST!$A$1:$I$46</definedName>
    <definedName name="_xlnm.Print_Area" localSheetId="20">TO!$A$1:$I$45</definedName>
    <definedName name="_xlnm.Print_Area" localSheetId="21">VN!$A$1:$I$45</definedName>
    <definedName name="_xlnm.Print_Area" localSheetId="22">WC!$A$1:$I$45</definedName>
    <definedName name="_xlnm.Print_Area" localSheetId="23">WH!$A$1:$I$45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6" i="17" l="1"/>
  <c r="I97" i="17"/>
  <c r="I93" i="17"/>
  <c r="I99" i="17" s="1"/>
  <c r="I94" i="17"/>
  <c r="I95" i="17"/>
  <c r="I98" i="17"/>
  <c r="I95" i="15"/>
  <c r="H35" i="15"/>
  <c r="I96" i="15"/>
  <c r="H79" i="15"/>
  <c r="I68" i="12"/>
  <c r="I33" i="7"/>
  <c r="I28" i="7"/>
  <c r="I75" i="14" l="1"/>
  <c r="I76" i="14"/>
  <c r="I77" i="17"/>
  <c r="I79" i="17" s="1"/>
  <c r="I80" i="17" s="1"/>
  <c r="I75" i="21"/>
  <c r="I76" i="21"/>
  <c r="I64" i="20"/>
  <c r="I64" i="19"/>
  <c r="C79" i="1"/>
  <c r="I65" i="3"/>
  <c r="I64" i="18"/>
  <c r="I61" i="19"/>
  <c r="I61" i="20"/>
  <c r="I62" i="11"/>
  <c r="I61" i="11"/>
  <c r="I70" i="11"/>
  <c r="I69" i="11"/>
  <c r="I68" i="11"/>
  <c r="I67" i="11"/>
  <c r="I66" i="11"/>
  <c r="I65" i="11"/>
  <c r="I64" i="11"/>
  <c r="I64" i="3"/>
  <c r="I33" i="12"/>
  <c r="I34" i="12"/>
  <c r="I57" i="1"/>
  <c r="I58" i="1"/>
  <c r="I59" i="4"/>
  <c r="H11" i="20"/>
  <c r="H19" i="20"/>
  <c r="C55" i="14"/>
  <c r="H19" i="23"/>
  <c r="H27" i="23"/>
  <c r="H35" i="23"/>
  <c r="H50" i="23"/>
  <c r="I4" i="5"/>
  <c r="I5" i="5"/>
  <c r="I6" i="5"/>
  <c r="I7" i="5"/>
  <c r="I8" i="5"/>
  <c r="I9" i="5"/>
  <c r="I10" i="5"/>
  <c r="C11" i="5"/>
  <c r="D11" i="5"/>
  <c r="H11" i="5"/>
  <c r="I11" i="5"/>
  <c r="I12" i="5"/>
  <c r="I13" i="5"/>
  <c r="I14" i="5"/>
  <c r="I15" i="5"/>
  <c r="I16" i="5"/>
  <c r="I17" i="5"/>
  <c r="I18" i="5"/>
  <c r="C19" i="5"/>
  <c r="D19" i="5"/>
  <c r="H19" i="5"/>
  <c r="I19" i="5"/>
  <c r="I20" i="5"/>
  <c r="I21" i="5"/>
  <c r="I22" i="5"/>
  <c r="I23" i="5"/>
  <c r="I24" i="5"/>
  <c r="I25" i="5"/>
  <c r="I26" i="5"/>
  <c r="C27" i="5"/>
  <c r="D27" i="5"/>
  <c r="H27" i="5"/>
  <c r="I27" i="5"/>
  <c r="I28" i="5"/>
  <c r="I29" i="5"/>
  <c r="I30" i="5"/>
  <c r="I31" i="5"/>
  <c r="I32" i="5"/>
  <c r="I33" i="5"/>
  <c r="I34" i="5"/>
  <c r="C35" i="5"/>
  <c r="D35" i="5"/>
  <c r="H35" i="5"/>
  <c r="I35" i="5"/>
  <c r="C36" i="5"/>
  <c r="D36" i="5"/>
  <c r="H36" i="5"/>
  <c r="I36" i="5"/>
  <c r="C37" i="5"/>
  <c r="H37" i="5"/>
  <c r="I37" i="5"/>
  <c r="I58" i="5"/>
  <c r="I55" i="21"/>
  <c r="I54" i="21"/>
  <c r="I57" i="21"/>
  <c r="I49" i="10"/>
  <c r="I49" i="6"/>
  <c r="I48" i="22"/>
  <c r="I49" i="22"/>
  <c r="I50" i="22"/>
  <c r="H29" i="10"/>
  <c r="H28" i="10"/>
  <c r="H26" i="10"/>
  <c r="H25" i="10"/>
  <c r="H24" i="10"/>
  <c r="H23" i="10"/>
  <c r="H22" i="10"/>
  <c r="H21" i="10"/>
  <c r="H20" i="10"/>
  <c r="H18" i="10"/>
  <c r="H16" i="10"/>
  <c r="H15" i="10"/>
  <c r="H14" i="10"/>
  <c r="H13" i="10"/>
  <c r="H12" i="10"/>
  <c r="H10" i="10"/>
  <c r="H9" i="10"/>
  <c r="H8" i="10"/>
  <c r="H7" i="10"/>
  <c r="H6" i="10"/>
  <c r="H5" i="10"/>
  <c r="H4" i="10"/>
  <c r="H17" i="10"/>
  <c r="I49" i="4"/>
  <c r="H211" i="25"/>
  <c r="D211" i="25"/>
  <c r="C211" i="25"/>
  <c r="I210" i="25"/>
  <c r="I209" i="25"/>
  <c r="I208" i="25"/>
  <c r="I207" i="25"/>
  <c r="I206" i="25"/>
  <c r="I205" i="25"/>
  <c r="I204" i="25"/>
  <c r="I211" i="25"/>
  <c r="H203" i="25"/>
  <c r="D203" i="25"/>
  <c r="C203" i="25"/>
  <c r="I202" i="25"/>
  <c r="I201" i="25"/>
  <c r="I200" i="25"/>
  <c r="I199" i="25"/>
  <c r="I198" i="25"/>
  <c r="I197" i="25"/>
  <c r="I196" i="25"/>
  <c r="I203" i="25"/>
  <c r="H195" i="25"/>
  <c r="D195" i="25"/>
  <c r="C195" i="25"/>
  <c r="I194" i="25"/>
  <c r="I193" i="25"/>
  <c r="I192" i="25"/>
  <c r="I191" i="25"/>
  <c r="I190" i="25"/>
  <c r="I189" i="25"/>
  <c r="I188" i="25"/>
  <c r="I195" i="25"/>
  <c r="H187" i="25"/>
  <c r="D187" i="25"/>
  <c r="C187" i="25"/>
  <c r="I186" i="25"/>
  <c r="I185" i="25"/>
  <c r="I184" i="25"/>
  <c r="I183" i="25"/>
  <c r="I182" i="25"/>
  <c r="I181" i="25"/>
  <c r="I180" i="25"/>
  <c r="I187" i="25"/>
  <c r="H167" i="25"/>
  <c r="D167" i="25"/>
  <c r="C167" i="25"/>
  <c r="I166" i="25"/>
  <c r="I165" i="25"/>
  <c r="I164" i="25"/>
  <c r="I163" i="25"/>
  <c r="I162" i="25"/>
  <c r="I161" i="25"/>
  <c r="I160" i="25"/>
  <c r="I167" i="25"/>
  <c r="H159" i="25"/>
  <c r="D159" i="25"/>
  <c r="C159" i="25"/>
  <c r="I158" i="25"/>
  <c r="I157" i="25"/>
  <c r="I156" i="25"/>
  <c r="I155" i="25"/>
  <c r="I154" i="25"/>
  <c r="I153" i="25"/>
  <c r="I152" i="25"/>
  <c r="I159" i="25"/>
  <c r="H151" i="25"/>
  <c r="D151" i="25"/>
  <c r="C151" i="25"/>
  <c r="I150" i="25"/>
  <c r="I149" i="25"/>
  <c r="I148" i="25"/>
  <c r="I147" i="25"/>
  <c r="I146" i="25"/>
  <c r="I145" i="25"/>
  <c r="I144" i="25"/>
  <c r="I151" i="25"/>
  <c r="H143" i="25"/>
  <c r="D143" i="25"/>
  <c r="C143" i="25"/>
  <c r="I142" i="25"/>
  <c r="I141" i="25"/>
  <c r="I140" i="25"/>
  <c r="I139" i="25"/>
  <c r="I138" i="25"/>
  <c r="I137" i="25"/>
  <c r="I136" i="25"/>
  <c r="I143" i="25"/>
  <c r="H123" i="25"/>
  <c r="D123" i="25"/>
  <c r="C123" i="25"/>
  <c r="I122" i="25"/>
  <c r="I121" i="25"/>
  <c r="I120" i="25"/>
  <c r="I119" i="25"/>
  <c r="I118" i="25"/>
  <c r="I117" i="25"/>
  <c r="I116" i="25"/>
  <c r="I123" i="25"/>
  <c r="H115" i="25"/>
  <c r="D115" i="25"/>
  <c r="C115" i="25"/>
  <c r="I114" i="25"/>
  <c r="I113" i="25"/>
  <c r="I112" i="25"/>
  <c r="I111" i="25"/>
  <c r="I110" i="25"/>
  <c r="I109" i="25"/>
  <c r="I108" i="25"/>
  <c r="I115" i="25"/>
  <c r="H107" i="25"/>
  <c r="D107" i="25"/>
  <c r="C107" i="25"/>
  <c r="I106" i="25"/>
  <c r="I105" i="25"/>
  <c r="I104" i="25"/>
  <c r="I103" i="25"/>
  <c r="I102" i="25"/>
  <c r="I101" i="25"/>
  <c r="I100" i="25"/>
  <c r="I107" i="25" s="1"/>
  <c r="H99" i="25"/>
  <c r="D99" i="25"/>
  <c r="C99" i="25"/>
  <c r="I98" i="25"/>
  <c r="I97" i="25"/>
  <c r="I96" i="25"/>
  <c r="I95" i="25"/>
  <c r="I94" i="25"/>
  <c r="I93" i="25"/>
  <c r="I92" i="25"/>
  <c r="H79" i="25"/>
  <c r="D79" i="25"/>
  <c r="C79" i="25"/>
  <c r="I78" i="25"/>
  <c r="I77" i="25"/>
  <c r="I76" i="25"/>
  <c r="I79" i="25" s="1"/>
  <c r="I75" i="25"/>
  <c r="I74" i="25"/>
  <c r="I73" i="25"/>
  <c r="I72" i="25"/>
  <c r="H71" i="25"/>
  <c r="D71" i="25"/>
  <c r="C71" i="25"/>
  <c r="I70" i="25"/>
  <c r="I69" i="25"/>
  <c r="I68" i="25"/>
  <c r="I67" i="25"/>
  <c r="I66" i="25"/>
  <c r="I65" i="25"/>
  <c r="I64" i="25"/>
  <c r="H63" i="25"/>
  <c r="D63" i="25"/>
  <c r="C63" i="25"/>
  <c r="I62" i="25"/>
  <c r="I61" i="25"/>
  <c r="I60" i="25"/>
  <c r="I59" i="25"/>
  <c r="I58" i="25"/>
  <c r="I57" i="25"/>
  <c r="I56" i="25"/>
  <c r="H55" i="25"/>
  <c r="D55" i="25"/>
  <c r="C55" i="25"/>
  <c r="I54" i="25"/>
  <c r="I53" i="25"/>
  <c r="I52" i="25"/>
  <c r="I51" i="25"/>
  <c r="I50" i="25"/>
  <c r="I49" i="25"/>
  <c r="I48" i="25"/>
  <c r="I55" i="25"/>
  <c r="H211" i="24"/>
  <c r="D211" i="24"/>
  <c r="C211" i="24"/>
  <c r="I210" i="24"/>
  <c r="I209" i="24"/>
  <c r="I208" i="24"/>
  <c r="I207" i="24"/>
  <c r="I206" i="24"/>
  <c r="I205" i="24"/>
  <c r="I204" i="24"/>
  <c r="I211" i="24"/>
  <c r="H203" i="24"/>
  <c r="D203" i="24"/>
  <c r="C203" i="24"/>
  <c r="I202" i="24"/>
  <c r="I201" i="24"/>
  <c r="I200" i="24"/>
  <c r="I199" i="24"/>
  <c r="I198" i="24"/>
  <c r="I197" i="24"/>
  <c r="I196" i="24"/>
  <c r="I203" i="24"/>
  <c r="H195" i="24"/>
  <c r="D195" i="24"/>
  <c r="C195" i="24"/>
  <c r="I194" i="24"/>
  <c r="I193" i="24"/>
  <c r="I192" i="24"/>
  <c r="I191" i="24"/>
  <c r="I190" i="24"/>
  <c r="I189" i="24"/>
  <c r="I188" i="24"/>
  <c r="I195" i="24"/>
  <c r="H187" i="24"/>
  <c r="D187" i="24"/>
  <c r="C187" i="24"/>
  <c r="I186" i="24"/>
  <c r="I185" i="24"/>
  <c r="I184" i="24"/>
  <c r="I183" i="24"/>
  <c r="I182" i="24"/>
  <c r="I181" i="24"/>
  <c r="I180" i="24"/>
  <c r="I187" i="24"/>
  <c r="H167" i="24"/>
  <c r="D167" i="24"/>
  <c r="C167" i="24"/>
  <c r="I166" i="24"/>
  <c r="I165" i="24"/>
  <c r="I164" i="24"/>
  <c r="I163" i="24"/>
  <c r="I162" i="24"/>
  <c r="I161" i="24"/>
  <c r="I160" i="24"/>
  <c r="I167" i="24"/>
  <c r="H159" i="24"/>
  <c r="D159" i="24"/>
  <c r="C159" i="24"/>
  <c r="I158" i="24"/>
  <c r="I157" i="24"/>
  <c r="I156" i="24"/>
  <c r="I155" i="24"/>
  <c r="I154" i="24"/>
  <c r="I153" i="24"/>
  <c r="I152" i="24"/>
  <c r="I159" i="24"/>
  <c r="H151" i="24"/>
  <c r="D151" i="24"/>
  <c r="C151" i="24"/>
  <c r="I150" i="24"/>
  <c r="I149" i="24"/>
  <c r="I148" i="24"/>
  <c r="I147" i="24"/>
  <c r="I146" i="24"/>
  <c r="I145" i="24"/>
  <c r="I144" i="24"/>
  <c r="I151" i="24"/>
  <c r="H143" i="24"/>
  <c r="D143" i="24"/>
  <c r="C143" i="24"/>
  <c r="I142" i="24"/>
  <c r="I141" i="24"/>
  <c r="I140" i="24"/>
  <c r="I139" i="24"/>
  <c r="I138" i="24"/>
  <c r="I137" i="24"/>
  <c r="I136" i="24"/>
  <c r="I143" i="24"/>
  <c r="H123" i="24"/>
  <c r="D123" i="24"/>
  <c r="C123" i="24"/>
  <c r="I122" i="24"/>
  <c r="I121" i="24"/>
  <c r="I120" i="24"/>
  <c r="I119" i="24"/>
  <c r="I118" i="24"/>
  <c r="I117" i="24"/>
  <c r="I116" i="24"/>
  <c r="I123" i="24"/>
  <c r="H115" i="24"/>
  <c r="D115" i="24"/>
  <c r="C115" i="24"/>
  <c r="I114" i="24"/>
  <c r="I113" i="24"/>
  <c r="I112" i="24"/>
  <c r="I111" i="24"/>
  <c r="I110" i="24"/>
  <c r="I109" i="24"/>
  <c r="I108" i="24"/>
  <c r="I115" i="24"/>
  <c r="H107" i="24"/>
  <c r="D107" i="24"/>
  <c r="C107" i="24"/>
  <c r="I106" i="24"/>
  <c r="I105" i="24"/>
  <c r="I104" i="24"/>
  <c r="I103" i="24"/>
  <c r="I102" i="24"/>
  <c r="I101" i="24"/>
  <c r="I100" i="24"/>
  <c r="I107" i="24"/>
  <c r="H99" i="24"/>
  <c r="D99" i="24"/>
  <c r="C99" i="24"/>
  <c r="I98" i="24"/>
  <c r="I97" i="24"/>
  <c r="I96" i="24"/>
  <c r="I95" i="24"/>
  <c r="I94" i="24"/>
  <c r="I93" i="24"/>
  <c r="I99" i="24" s="1"/>
  <c r="I124" i="24" s="1"/>
  <c r="I92" i="24"/>
  <c r="H79" i="24"/>
  <c r="D79" i="24"/>
  <c r="C79" i="24"/>
  <c r="I78" i="24"/>
  <c r="I77" i="24"/>
  <c r="I76" i="24"/>
  <c r="I75" i="24"/>
  <c r="I74" i="24"/>
  <c r="I73" i="24"/>
  <c r="I72" i="24"/>
  <c r="I79" i="24"/>
  <c r="H71" i="24"/>
  <c r="D71" i="24"/>
  <c r="D80" i="24" s="1"/>
  <c r="C71" i="24"/>
  <c r="C80" i="24" s="1"/>
  <c r="I70" i="24"/>
  <c r="I69" i="24"/>
  <c r="I68" i="24"/>
  <c r="I67" i="24"/>
  <c r="I66" i="24"/>
  <c r="I65" i="24"/>
  <c r="I64" i="24"/>
  <c r="I71" i="24" s="1"/>
  <c r="H63" i="24"/>
  <c r="D63" i="24"/>
  <c r="C63" i="24"/>
  <c r="I62" i="24"/>
  <c r="I61" i="24"/>
  <c r="I60" i="24"/>
  <c r="I63" i="24" s="1"/>
  <c r="I59" i="24"/>
  <c r="I58" i="24"/>
  <c r="I57" i="24"/>
  <c r="I56" i="24"/>
  <c r="H55" i="24"/>
  <c r="D55" i="24"/>
  <c r="C55" i="24"/>
  <c r="I54" i="24"/>
  <c r="I53" i="24"/>
  <c r="I52" i="24"/>
  <c r="I51" i="24"/>
  <c r="I50" i="24"/>
  <c r="I49" i="24"/>
  <c r="I48" i="24"/>
  <c r="I55" i="24"/>
  <c r="H211" i="23"/>
  <c r="D211" i="23"/>
  <c r="C211" i="23"/>
  <c r="I210" i="23"/>
  <c r="I209" i="23"/>
  <c r="I208" i="23"/>
  <c r="I207" i="23"/>
  <c r="I206" i="23"/>
  <c r="I205" i="23"/>
  <c r="I204" i="23"/>
  <c r="I211" i="23"/>
  <c r="H203" i="23"/>
  <c r="D203" i="23"/>
  <c r="C203" i="23"/>
  <c r="I202" i="23"/>
  <c r="I201" i="23"/>
  <c r="I200" i="23"/>
  <c r="I199" i="23"/>
  <c r="I198" i="23"/>
  <c r="I197" i="23"/>
  <c r="I196" i="23"/>
  <c r="I203" i="23"/>
  <c r="H195" i="23"/>
  <c r="D195" i="23"/>
  <c r="C195" i="23"/>
  <c r="I194" i="23"/>
  <c r="I193" i="23"/>
  <c r="I192" i="23"/>
  <c r="I191" i="23"/>
  <c r="I190" i="23"/>
  <c r="I189" i="23"/>
  <c r="I188" i="23"/>
  <c r="I195" i="23"/>
  <c r="H187" i="23"/>
  <c r="D187" i="23"/>
  <c r="C187" i="23"/>
  <c r="I186" i="23"/>
  <c r="I185" i="23"/>
  <c r="I184" i="23"/>
  <c r="I183" i="23"/>
  <c r="I182" i="23"/>
  <c r="I181" i="23"/>
  <c r="I180" i="23"/>
  <c r="I187" i="23"/>
  <c r="H167" i="23"/>
  <c r="D167" i="23"/>
  <c r="C167" i="23"/>
  <c r="I166" i="23"/>
  <c r="I165" i="23"/>
  <c r="I164" i="23"/>
  <c r="I163" i="23"/>
  <c r="I162" i="23"/>
  <c r="I161" i="23"/>
  <c r="I160" i="23"/>
  <c r="I167" i="23"/>
  <c r="H159" i="23"/>
  <c r="D159" i="23"/>
  <c r="C159" i="23"/>
  <c r="I158" i="23"/>
  <c r="I157" i="23"/>
  <c r="I156" i="23"/>
  <c r="I155" i="23"/>
  <c r="I154" i="23"/>
  <c r="I153" i="23"/>
  <c r="I152" i="23"/>
  <c r="I159" i="23"/>
  <c r="H151" i="23"/>
  <c r="D151" i="23"/>
  <c r="C151" i="23"/>
  <c r="I150" i="23"/>
  <c r="I149" i="23"/>
  <c r="I148" i="23"/>
  <c r="I147" i="23"/>
  <c r="I146" i="23"/>
  <c r="I145" i="23"/>
  <c r="I144" i="23"/>
  <c r="I151" i="23"/>
  <c r="H143" i="23"/>
  <c r="D143" i="23"/>
  <c r="C143" i="23"/>
  <c r="I142" i="23"/>
  <c r="I141" i="23"/>
  <c r="I140" i="23"/>
  <c r="I139" i="23"/>
  <c r="I138" i="23"/>
  <c r="I137" i="23"/>
  <c r="I136" i="23"/>
  <c r="I143" i="23"/>
  <c r="H123" i="23"/>
  <c r="D123" i="23"/>
  <c r="C123" i="23"/>
  <c r="I122" i="23"/>
  <c r="I121" i="23"/>
  <c r="I120" i="23"/>
  <c r="I119" i="23"/>
  <c r="I118" i="23"/>
  <c r="I117" i="23"/>
  <c r="I116" i="23"/>
  <c r="I123" i="23"/>
  <c r="H115" i="23"/>
  <c r="D115" i="23"/>
  <c r="C115" i="23"/>
  <c r="I114" i="23"/>
  <c r="I113" i="23"/>
  <c r="I112" i="23"/>
  <c r="I111" i="23"/>
  <c r="I110" i="23"/>
  <c r="I109" i="23"/>
  <c r="I108" i="23"/>
  <c r="I115" i="23"/>
  <c r="H107" i="23"/>
  <c r="H124" i="23" s="1"/>
  <c r="D107" i="23"/>
  <c r="C107" i="23"/>
  <c r="I106" i="23"/>
  <c r="I105" i="23"/>
  <c r="I104" i="23"/>
  <c r="I103" i="23"/>
  <c r="I102" i="23"/>
  <c r="I101" i="23"/>
  <c r="I107" i="23" s="1"/>
  <c r="D99" i="23"/>
  <c r="C99" i="23"/>
  <c r="I98" i="23"/>
  <c r="I97" i="23"/>
  <c r="I96" i="23"/>
  <c r="I95" i="23"/>
  <c r="I94" i="23"/>
  <c r="I93" i="23"/>
  <c r="I92" i="23"/>
  <c r="H79" i="23"/>
  <c r="D79" i="23"/>
  <c r="C79" i="23"/>
  <c r="I78" i="23"/>
  <c r="I77" i="23"/>
  <c r="I76" i="23"/>
  <c r="I75" i="23"/>
  <c r="I74" i="23"/>
  <c r="I73" i="23"/>
  <c r="I72" i="23"/>
  <c r="I79" i="23"/>
  <c r="H71" i="23"/>
  <c r="D71" i="23"/>
  <c r="C71" i="23"/>
  <c r="I70" i="23"/>
  <c r="I69" i="23"/>
  <c r="I68" i="23"/>
  <c r="I67" i="23"/>
  <c r="I66" i="23"/>
  <c r="I65" i="23"/>
  <c r="I64" i="23"/>
  <c r="I71" i="23"/>
  <c r="H63" i="23"/>
  <c r="D63" i="23"/>
  <c r="C63" i="23"/>
  <c r="I62" i="23"/>
  <c r="I61" i="23"/>
  <c r="I60" i="23"/>
  <c r="I59" i="23"/>
  <c r="I58" i="23"/>
  <c r="I57" i="23"/>
  <c r="I56" i="23"/>
  <c r="I63" i="23"/>
  <c r="H55" i="23"/>
  <c r="D55" i="23"/>
  <c r="C55" i="23"/>
  <c r="I54" i="23"/>
  <c r="I53" i="23"/>
  <c r="I52" i="23"/>
  <c r="I51" i="23"/>
  <c r="I50" i="23"/>
  <c r="I49" i="23"/>
  <c r="I48" i="23"/>
  <c r="I55" i="23"/>
  <c r="H211" i="22"/>
  <c r="D211" i="22"/>
  <c r="C211" i="22"/>
  <c r="I210" i="22"/>
  <c r="I209" i="22"/>
  <c r="I208" i="22"/>
  <c r="I207" i="22"/>
  <c r="I206" i="22"/>
  <c r="I205" i="22"/>
  <c r="I204" i="22"/>
  <c r="I211" i="22"/>
  <c r="H203" i="22"/>
  <c r="D203" i="22"/>
  <c r="C203" i="22"/>
  <c r="I202" i="22"/>
  <c r="I201" i="22"/>
  <c r="I200" i="22"/>
  <c r="I199" i="22"/>
  <c r="I198" i="22"/>
  <c r="I197" i="22"/>
  <c r="I196" i="22"/>
  <c r="I203" i="22"/>
  <c r="H195" i="22"/>
  <c r="D195" i="22"/>
  <c r="C195" i="22"/>
  <c r="I194" i="22"/>
  <c r="I193" i="22"/>
  <c r="I192" i="22"/>
  <c r="I191" i="22"/>
  <c r="I190" i="22"/>
  <c r="I189" i="22"/>
  <c r="I188" i="22"/>
  <c r="I195" i="22"/>
  <c r="H187" i="22"/>
  <c r="D187" i="22"/>
  <c r="C187" i="22"/>
  <c r="I186" i="22"/>
  <c r="I185" i="22"/>
  <c r="I184" i="22"/>
  <c r="I183" i="22"/>
  <c r="I182" i="22"/>
  <c r="I181" i="22"/>
  <c r="I180" i="22"/>
  <c r="I187" i="22"/>
  <c r="H167" i="22"/>
  <c r="D167" i="22"/>
  <c r="C167" i="22"/>
  <c r="I166" i="22"/>
  <c r="I165" i="22"/>
  <c r="I164" i="22"/>
  <c r="I163" i="22"/>
  <c r="I162" i="22"/>
  <c r="I161" i="22"/>
  <c r="I160" i="22"/>
  <c r="I167" i="22"/>
  <c r="H159" i="22"/>
  <c r="D159" i="22"/>
  <c r="C159" i="22"/>
  <c r="I158" i="22"/>
  <c r="I157" i="22"/>
  <c r="I156" i="22"/>
  <c r="I155" i="22"/>
  <c r="I154" i="22"/>
  <c r="I153" i="22"/>
  <c r="I152" i="22"/>
  <c r="I159" i="22"/>
  <c r="H151" i="22"/>
  <c r="D151" i="22"/>
  <c r="C151" i="22"/>
  <c r="I150" i="22"/>
  <c r="I149" i="22"/>
  <c r="I148" i="22"/>
  <c r="I147" i="22"/>
  <c r="I146" i="22"/>
  <c r="I145" i="22"/>
  <c r="I144" i="22"/>
  <c r="I151" i="22"/>
  <c r="H143" i="22"/>
  <c r="D143" i="22"/>
  <c r="C143" i="22"/>
  <c r="I142" i="22"/>
  <c r="I141" i="22"/>
  <c r="I140" i="22"/>
  <c r="I139" i="22"/>
  <c r="I138" i="22"/>
  <c r="I137" i="22"/>
  <c r="I136" i="22"/>
  <c r="I143" i="22"/>
  <c r="H123" i="22"/>
  <c r="D123" i="22"/>
  <c r="C123" i="22"/>
  <c r="I122" i="22"/>
  <c r="I121" i="22"/>
  <c r="I120" i="22"/>
  <c r="I119" i="22"/>
  <c r="I118" i="22"/>
  <c r="I117" i="22"/>
  <c r="I116" i="22"/>
  <c r="I123" i="22"/>
  <c r="H115" i="22"/>
  <c r="D115" i="22"/>
  <c r="C115" i="22"/>
  <c r="I114" i="22"/>
  <c r="I113" i="22"/>
  <c r="I112" i="22"/>
  <c r="I111" i="22"/>
  <c r="I110" i="22"/>
  <c r="I109" i="22"/>
  <c r="I108" i="22"/>
  <c r="I115" i="22"/>
  <c r="H107" i="22"/>
  <c r="D107" i="22"/>
  <c r="C107" i="22"/>
  <c r="I106" i="22"/>
  <c r="I105" i="22"/>
  <c r="I104" i="22"/>
  <c r="I103" i="22"/>
  <c r="I102" i="22"/>
  <c r="I101" i="22"/>
  <c r="I100" i="22"/>
  <c r="I107" i="22"/>
  <c r="H99" i="22"/>
  <c r="D99" i="22"/>
  <c r="C99" i="22"/>
  <c r="I98" i="22"/>
  <c r="I97" i="22"/>
  <c r="I96" i="22"/>
  <c r="I95" i="22"/>
  <c r="I94" i="22"/>
  <c r="I93" i="22"/>
  <c r="I92" i="22"/>
  <c r="I99" i="22"/>
  <c r="I124" i="22" s="1"/>
  <c r="H79" i="22"/>
  <c r="D79" i="22"/>
  <c r="C79" i="22"/>
  <c r="I78" i="22"/>
  <c r="I77" i="22"/>
  <c r="I76" i="22"/>
  <c r="I75" i="22"/>
  <c r="I74" i="22"/>
  <c r="I73" i="22"/>
  <c r="I72" i="22"/>
  <c r="I79" i="22"/>
  <c r="H71" i="22"/>
  <c r="H80" i="22" s="1"/>
  <c r="D71" i="22"/>
  <c r="C71" i="22"/>
  <c r="I70" i="22"/>
  <c r="I69" i="22"/>
  <c r="I68" i="22"/>
  <c r="I67" i="22"/>
  <c r="I66" i="22"/>
  <c r="I65" i="22"/>
  <c r="I64" i="22"/>
  <c r="I71" i="22"/>
  <c r="H63" i="22"/>
  <c r="D63" i="22"/>
  <c r="C63" i="22"/>
  <c r="I62" i="22"/>
  <c r="I61" i="22"/>
  <c r="I60" i="22"/>
  <c r="I59" i="22"/>
  <c r="I58" i="22"/>
  <c r="I57" i="22"/>
  <c r="I56" i="22"/>
  <c r="I63" i="22"/>
  <c r="H55" i="22"/>
  <c r="D55" i="22"/>
  <c r="C55" i="22"/>
  <c r="I54" i="22"/>
  <c r="I53" i="22"/>
  <c r="I52" i="22"/>
  <c r="I51" i="22"/>
  <c r="I55" i="22"/>
  <c r="H212" i="21"/>
  <c r="D212" i="21"/>
  <c r="C212" i="21"/>
  <c r="I211" i="21"/>
  <c r="I210" i="21"/>
  <c r="I209" i="21"/>
  <c r="I208" i="21"/>
  <c r="I207" i="21"/>
  <c r="I206" i="21"/>
  <c r="I205" i="21"/>
  <c r="I212" i="21"/>
  <c r="H204" i="21"/>
  <c r="D204" i="21"/>
  <c r="C204" i="21"/>
  <c r="I203" i="21"/>
  <c r="I202" i="21"/>
  <c r="I201" i="21"/>
  <c r="I200" i="21"/>
  <c r="I199" i="21"/>
  <c r="I198" i="21"/>
  <c r="I197" i="21"/>
  <c r="I204" i="21"/>
  <c r="H196" i="21"/>
  <c r="D196" i="21"/>
  <c r="C196" i="21"/>
  <c r="I195" i="21"/>
  <c r="I194" i="21"/>
  <c r="I193" i="21"/>
  <c r="I192" i="21"/>
  <c r="I191" i="21"/>
  <c r="I190" i="21"/>
  <c r="I189" i="21"/>
  <c r="I196" i="21"/>
  <c r="H188" i="21"/>
  <c r="D188" i="21"/>
  <c r="C188" i="21"/>
  <c r="I187" i="21"/>
  <c r="I186" i="21"/>
  <c r="I185" i="21"/>
  <c r="I184" i="21"/>
  <c r="I183" i="21"/>
  <c r="I182" i="21"/>
  <c r="I181" i="21"/>
  <c r="I188" i="21"/>
  <c r="H168" i="21"/>
  <c r="D168" i="21"/>
  <c r="C168" i="21"/>
  <c r="I167" i="21"/>
  <c r="I166" i="21"/>
  <c r="I165" i="21"/>
  <c r="I164" i="21"/>
  <c r="I163" i="21"/>
  <c r="I162" i="21"/>
  <c r="I161" i="21"/>
  <c r="I168" i="21"/>
  <c r="H160" i="21"/>
  <c r="D160" i="21"/>
  <c r="C160" i="21"/>
  <c r="I159" i="21"/>
  <c r="I158" i="21"/>
  <c r="I157" i="21"/>
  <c r="I156" i="21"/>
  <c r="I155" i="21"/>
  <c r="I154" i="21"/>
  <c r="I153" i="21"/>
  <c r="I160" i="21"/>
  <c r="H152" i="21"/>
  <c r="D152" i="21"/>
  <c r="C152" i="21"/>
  <c r="I151" i="21"/>
  <c r="I150" i="21"/>
  <c r="I149" i="21"/>
  <c r="I148" i="21"/>
  <c r="I147" i="21"/>
  <c r="I146" i="21"/>
  <c r="I145" i="21"/>
  <c r="I152" i="21"/>
  <c r="H144" i="21"/>
  <c r="D144" i="21"/>
  <c r="C144" i="21"/>
  <c r="I143" i="21"/>
  <c r="I142" i="21"/>
  <c r="I141" i="21"/>
  <c r="I140" i="21"/>
  <c r="I139" i="21"/>
  <c r="I138" i="21"/>
  <c r="I137" i="21"/>
  <c r="I144" i="21"/>
  <c r="H124" i="21"/>
  <c r="D124" i="21"/>
  <c r="C124" i="21"/>
  <c r="I123" i="21"/>
  <c r="I122" i="21"/>
  <c r="I121" i="21"/>
  <c r="I120" i="21"/>
  <c r="I119" i="21"/>
  <c r="I118" i="21"/>
  <c r="I117" i="21"/>
  <c r="I124" i="21"/>
  <c r="H116" i="21"/>
  <c r="D116" i="21"/>
  <c r="C116" i="21"/>
  <c r="I115" i="21"/>
  <c r="I114" i="21"/>
  <c r="I113" i="21"/>
  <c r="I112" i="21"/>
  <c r="I111" i="21"/>
  <c r="I110" i="21"/>
  <c r="I109" i="21"/>
  <c r="I116" i="21"/>
  <c r="H108" i="21"/>
  <c r="D108" i="21"/>
  <c r="C108" i="21"/>
  <c r="I107" i="21"/>
  <c r="I106" i="21"/>
  <c r="I105" i="21"/>
  <c r="I104" i="21"/>
  <c r="I103" i="21"/>
  <c r="I102" i="21"/>
  <c r="I101" i="21"/>
  <c r="I108" i="21"/>
  <c r="H100" i="21"/>
  <c r="D100" i="21"/>
  <c r="C100" i="21"/>
  <c r="I99" i="21"/>
  <c r="I98" i="21"/>
  <c r="I97" i="21"/>
  <c r="I96" i="21"/>
  <c r="I95" i="21"/>
  <c r="I94" i="21"/>
  <c r="I93" i="21"/>
  <c r="H80" i="21"/>
  <c r="D80" i="21"/>
  <c r="C80" i="21"/>
  <c r="I79" i="21"/>
  <c r="I78" i="21"/>
  <c r="I77" i="21"/>
  <c r="I74" i="21"/>
  <c r="I73" i="21"/>
  <c r="I80" i="21"/>
  <c r="H72" i="21"/>
  <c r="D72" i="21"/>
  <c r="C72" i="21"/>
  <c r="I71" i="21"/>
  <c r="I72" i="21" s="1"/>
  <c r="I70" i="21"/>
  <c r="I69" i="21"/>
  <c r="I68" i="21"/>
  <c r="I67" i="21"/>
  <c r="I66" i="21"/>
  <c r="I65" i="21"/>
  <c r="H64" i="21"/>
  <c r="D64" i="21"/>
  <c r="C64" i="21"/>
  <c r="I63" i="21"/>
  <c r="I62" i="21"/>
  <c r="I61" i="21"/>
  <c r="I60" i="21"/>
  <c r="I64" i="21" s="1"/>
  <c r="I59" i="21"/>
  <c r="I58" i="21"/>
  <c r="H56" i="21"/>
  <c r="D56" i="21"/>
  <c r="C56" i="21"/>
  <c r="I53" i="21"/>
  <c r="I56" i="21" s="1"/>
  <c r="I52" i="21"/>
  <c r="I51" i="21"/>
  <c r="I50" i="21"/>
  <c r="I49" i="21"/>
  <c r="H211" i="20"/>
  <c r="D211" i="20"/>
  <c r="C211" i="20"/>
  <c r="I210" i="20"/>
  <c r="I209" i="20"/>
  <c r="I208" i="20"/>
  <c r="I207" i="20"/>
  <c r="I206" i="20"/>
  <c r="I205" i="20"/>
  <c r="I204" i="20"/>
  <c r="I211" i="20"/>
  <c r="H203" i="20"/>
  <c r="D203" i="20"/>
  <c r="C203" i="20"/>
  <c r="I202" i="20"/>
  <c r="I201" i="20"/>
  <c r="I200" i="20"/>
  <c r="I199" i="20"/>
  <c r="I198" i="20"/>
  <c r="I197" i="20"/>
  <c r="I196" i="20"/>
  <c r="I203" i="20"/>
  <c r="H195" i="20"/>
  <c r="D195" i="20"/>
  <c r="C195" i="20"/>
  <c r="I194" i="20"/>
  <c r="I193" i="20"/>
  <c r="I192" i="20"/>
  <c r="I191" i="20"/>
  <c r="I190" i="20"/>
  <c r="I189" i="20"/>
  <c r="I188" i="20"/>
  <c r="I195" i="20"/>
  <c r="H187" i="20"/>
  <c r="D187" i="20"/>
  <c r="C187" i="20"/>
  <c r="I186" i="20"/>
  <c r="I185" i="20"/>
  <c r="I184" i="20"/>
  <c r="I183" i="20"/>
  <c r="I182" i="20"/>
  <c r="I181" i="20"/>
  <c r="I180" i="20"/>
  <c r="I187" i="20"/>
  <c r="H167" i="20"/>
  <c r="D167" i="20"/>
  <c r="C167" i="20"/>
  <c r="I166" i="20"/>
  <c r="I165" i="20"/>
  <c r="I164" i="20"/>
  <c r="I163" i="20"/>
  <c r="I162" i="20"/>
  <c r="I161" i="20"/>
  <c r="I160" i="20"/>
  <c r="I167" i="20"/>
  <c r="H159" i="20"/>
  <c r="D159" i="20"/>
  <c r="C159" i="20"/>
  <c r="I158" i="20"/>
  <c r="I157" i="20"/>
  <c r="I156" i="20"/>
  <c r="I155" i="20"/>
  <c r="I154" i="20"/>
  <c r="I153" i="20"/>
  <c r="I152" i="20"/>
  <c r="I159" i="20"/>
  <c r="H151" i="20"/>
  <c r="D151" i="20"/>
  <c r="C151" i="20"/>
  <c r="I150" i="20"/>
  <c r="I149" i="20"/>
  <c r="I148" i="20"/>
  <c r="I147" i="20"/>
  <c r="I146" i="20"/>
  <c r="I145" i="20"/>
  <c r="I144" i="20"/>
  <c r="I151" i="20"/>
  <c r="H143" i="20"/>
  <c r="D143" i="20"/>
  <c r="C143" i="20"/>
  <c r="I142" i="20"/>
  <c r="I141" i="20"/>
  <c r="I140" i="20"/>
  <c r="I139" i="20"/>
  <c r="I138" i="20"/>
  <c r="I137" i="20"/>
  <c r="I136" i="20"/>
  <c r="I143" i="20"/>
  <c r="H123" i="20"/>
  <c r="D123" i="20"/>
  <c r="C123" i="20"/>
  <c r="I122" i="20"/>
  <c r="I121" i="20"/>
  <c r="I120" i="20"/>
  <c r="I119" i="20"/>
  <c r="I118" i="20"/>
  <c r="I117" i="20"/>
  <c r="I116" i="20"/>
  <c r="I123" i="20"/>
  <c r="H115" i="20"/>
  <c r="D115" i="20"/>
  <c r="C115" i="20"/>
  <c r="I114" i="20"/>
  <c r="I113" i="20"/>
  <c r="I112" i="20"/>
  <c r="I111" i="20"/>
  <c r="I110" i="20"/>
  <c r="I109" i="20"/>
  <c r="I108" i="20"/>
  <c r="I115" i="20"/>
  <c r="H107" i="20"/>
  <c r="D107" i="20"/>
  <c r="C107" i="20"/>
  <c r="I106" i="20"/>
  <c r="I105" i="20"/>
  <c r="I104" i="20"/>
  <c r="I103" i="20"/>
  <c r="I102" i="20"/>
  <c r="I101" i="20"/>
  <c r="I100" i="20"/>
  <c r="I107" i="20"/>
  <c r="H99" i="20"/>
  <c r="D99" i="20"/>
  <c r="C99" i="20"/>
  <c r="I98" i="20"/>
  <c r="I97" i="20"/>
  <c r="I96" i="20"/>
  <c r="I95" i="20"/>
  <c r="I94" i="20"/>
  <c r="I99" i="20" s="1"/>
  <c r="I124" i="20" s="1"/>
  <c r="I93" i="20"/>
  <c r="I92" i="20"/>
  <c r="H79" i="20"/>
  <c r="D79" i="20"/>
  <c r="C79" i="20"/>
  <c r="I78" i="20"/>
  <c r="I77" i="20"/>
  <c r="I76" i="20"/>
  <c r="I75" i="20"/>
  <c r="I74" i="20"/>
  <c r="I73" i="20"/>
  <c r="I72" i="20"/>
  <c r="I79" i="20"/>
  <c r="H71" i="20"/>
  <c r="D71" i="20"/>
  <c r="C71" i="20"/>
  <c r="I70" i="20"/>
  <c r="I69" i="20"/>
  <c r="I68" i="20"/>
  <c r="I67" i="20"/>
  <c r="I66" i="20"/>
  <c r="I65" i="20"/>
  <c r="I71" i="20"/>
  <c r="H63" i="20"/>
  <c r="D63" i="20"/>
  <c r="C63" i="20"/>
  <c r="I62" i="20"/>
  <c r="I60" i="20"/>
  <c r="I59" i="20"/>
  <c r="I58" i="20"/>
  <c r="I57" i="20"/>
  <c r="I56" i="20"/>
  <c r="I63" i="20"/>
  <c r="I80" i="20" s="1"/>
  <c r="H55" i="20"/>
  <c r="D55" i="20"/>
  <c r="C55" i="20"/>
  <c r="I54" i="20"/>
  <c r="I53" i="20"/>
  <c r="I52" i="20"/>
  <c r="I51" i="20"/>
  <c r="I50" i="20"/>
  <c r="I49" i="20"/>
  <c r="I48" i="20"/>
  <c r="I55" i="20"/>
  <c r="H211" i="19"/>
  <c r="D211" i="19"/>
  <c r="C211" i="19"/>
  <c r="I210" i="19"/>
  <c r="I209" i="19"/>
  <c r="I208" i="19"/>
  <c r="I207" i="19"/>
  <c r="I206" i="19"/>
  <c r="I205" i="19"/>
  <c r="I204" i="19"/>
  <c r="I211" i="19"/>
  <c r="H203" i="19"/>
  <c r="D203" i="19"/>
  <c r="C203" i="19"/>
  <c r="I202" i="19"/>
  <c r="I201" i="19"/>
  <c r="I200" i="19"/>
  <c r="I199" i="19"/>
  <c r="I198" i="19"/>
  <c r="I197" i="19"/>
  <c r="I196" i="19"/>
  <c r="I203" i="19"/>
  <c r="H195" i="19"/>
  <c r="D195" i="19"/>
  <c r="C195" i="19"/>
  <c r="I194" i="19"/>
  <c r="I193" i="19"/>
  <c r="I192" i="19"/>
  <c r="I191" i="19"/>
  <c r="I190" i="19"/>
  <c r="I189" i="19"/>
  <c r="I188" i="19"/>
  <c r="I195" i="19"/>
  <c r="H187" i="19"/>
  <c r="D187" i="19"/>
  <c r="C187" i="19"/>
  <c r="I186" i="19"/>
  <c r="I185" i="19"/>
  <c r="I184" i="19"/>
  <c r="I183" i="19"/>
  <c r="I182" i="19"/>
  <c r="I181" i="19"/>
  <c r="I180" i="19"/>
  <c r="I187" i="19"/>
  <c r="H167" i="19"/>
  <c r="D167" i="19"/>
  <c r="C167" i="19"/>
  <c r="I166" i="19"/>
  <c r="I165" i="19"/>
  <c r="I164" i="19"/>
  <c r="I163" i="19"/>
  <c r="I162" i="19"/>
  <c r="I161" i="19"/>
  <c r="I160" i="19"/>
  <c r="I167" i="19"/>
  <c r="H159" i="19"/>
  <c r="D159" i="19"/>
  <c r="C159" i="19"/>
  <c r="I158" i="19"/>
  <c r="I157" i="19"/>
  <c r="I156" i="19"/>
  <c r="I155" i="19"/>
  <c r="I154" i="19"/>
  <c r="I153" i="19"/>
  <c r="I152" i="19"/>
  <c r="I159" i="19"/>
  <c r="H151" i="19"/>
  <c r="D151" i="19"/>
  <c r="C151" i="19"/>
  <c r="I150" i="19"/>
  <c r="I149" i="19"/>
  <c r="I148" i="19"/>
  <c r="I147" i="19"/>
  <c r="I146" i="19"/>
  <c r="I145" i="19"/>
  <c r="I144" i="19"/>
  <c r="I151" i="19"/>
  <c r="H143" i="19"/>
  <c r="D143" i="19"/>
  <c r="C143" i="19"/>
  <c r="I142" i="19"/>
  <c r="I141" i="19"/>
  <c r="I140" i="19"/>
  <c r="I139" i="19"/>
  <c r="I138" i="19"/>
  <c r="I137" i="19"/>
  <c r="I136" i="19"/>
  <c r="I143" i="19"/>
  <c r="H123" i="19"/>
  <c r="D123" i="19"/>
  <c r="C123" i="19"/>
  <c r="I122" i="19"/>
  <c r="I121" i="19"/>
  <c r="I120" i="19"/>
  <c r="I119" i="19"/>
  <c r="I118" i="19"/>
  <c r="I117" i="19"/>
  <c r="I116" i="19"/>
  <c r="I123" i="19"/>
  <c r="H115" i="19"/>
  <c r="D115" i="19"/>
  <c r="C115" i="19"/>
  <c r="I114" i="19"/>
  <c r="I113" i="19"/>
  <c r="I112" i="19"/>
  <c r="I111" i="19"/>
  <c r="I110" i="19"/>
  <c r="I109" i="19"/>
  <c r="I108" i="19"/>
  <c r="I115" i="19"/>
  <c r="H107" i="19"/>
  <c r="D107" i="19"/>
  <c r="C107" i="19"/>
  <c r="I106" i="19"/>
  <c r="I105" i="19"/>
  <c r="I104" i="19"/>
  <c r="I103" i="19"/>
  <c r="I102" i="19"/>
  <c r="I101" i="19"/>
  <c r="I100" i="19"/>
  <c r="I107" i="19"/>
  <c r="H99" i="19"/>
  <c r="D99" i="19"/>
  <c r="D124" i="19" s="1"/>
  <c r="C99" i="19"/>
  <c r="C124" i="19" s="1"/>
  <c r="I98" i="19"/>
  <c r="I97" i="19"/>
  <c r="I96" i="19"/>
  <c r="I95" i="19"/>
  <c r="I94" i="19"/>
  <c r="I93" i="19"/>
  <c r="I92" i="19"/>
  <c r="H79" i="19"/>
  <c r="D79" i="19"/>
  <c r="C79" i="19"/>
  <c r="I78" i="19"/>
  <c r="I77" i="19"/>
  <c r="I76" i="19"/>
  <c r="I75" i="19"/>
  <c r="I74" i="19"/>
  <c r="I73" i="19"/>
  <c r="I72" i="19"/>
  <c r="I79" i="19"/>
  <c r="H71" i="19"/>
  <c r="D71" i="19"/>
  <c r="C71" i="19"/>
  <c r="I70" i="19"/>
  <c r="I69" i="19"/>
  <c r="I68" i="19"/>
  <c r="I67" i="19"/>
  <c r="I66" i="19"/>
  <c r="I65" i="19"/>
  <c r="I71" i="19"/>
  <c r="H63" i="19"/>
  <c r="D63" i="19"/>
  <c r="C63" i="19"/>
  <c r="I62" i="19"/>
  <c r="I60" i="19"/>
  <c r="I59" i="19"/>
  <c r="I58" i="19"/>
  <c r="I57" i="19"/>
  <c r="I56" i="19"/>
  <c r="I63" i="19"/>
  <c r="H55" i="19"/>
  <c r="D55" i="19"/>
  <c r="C55" i="19"/>
  <c r="I54" i="19"/>
  <c r="I53" i="19"/>
  <c r="I52" i="19"/>
  <c r="I51" i="19"/>
  <c r="I50" i="19"/>
  <c r="I49" i="19"/>
  <c r="I48" i="19"/>
  <c r="I55" i="19"/>
  <c r="H211" i="18"/>
  <c r="D211" i="18"/>
  <c r="C211" i="18"/>
  <c r="I210" i="18"/>
  <c r="I209" i="18"/>
  <c r="I208" i="18"/>
  <c r="I207" i="18"/>
  <c r="I206" i="18"/>
  <c r="I205" i="18"/>
  <c r="I204" i="18"/>
  <c r="I211" i="18"/>
  <c r="H203" i="18"/>
  <c r="D203" i="18"/>
  <c r="C203" i="18"/>
  <c r="I202" i="18"/>
  <c r="I201" i="18"/>
  <c r="I200" i="18"/>
  <c r="I199" i="18"/>
  <c r="I198" i="18"/>
  <c r="I197" i="18"/>
  <c r="I196" i="18"/>
  <c r="I203" i="18"/>
  <c r="H195" i="18"/>
  <c r="D195" i="18"/>
  <c r="C195" i="18"/>
  <c r="I194" i="18"/>
  <c r="I193" i="18"/>
  <c r="I192" i="18"/>
  <c r="I191" i="18"/>
  <c r="I190" i="18"/>
  <c r="I189" i="18"/>
  <c r="I188" i="18"/>
  <c r="I195" i="18"/>
  <c r="H187" i="18"/>
  <c r="D187" i="18"/>
  <c r="C187" i="18"/>
  <c r="I186" i="18"/>
  <c r="I185" i="18"/>
  <c r="I184" i="18"/>
  <c r="I183" i="18"/>
  <c r="I182" i="18"/>
  <c r="I181" i="18"/>
  <c r="I180" i="18"/>
  <c r="I187" i="18"/>
  <c r="H167" i="18"/>
  <c r="D167" i="18"/>
  <c r="C167" i="18"/>
  <c r="I166" i="18"/>
  <c r="I165" i="18"/>
  <c r="I164" i="18"/>
  <c r="I163" i="18"/>
  <c r="I162" i="18"/>
  <c r="I161" i="18"/>
  <c r="I160" i="18"/>
  <c r="I167" i="18"/>
  <c r="H159" i="18"/>
  <c r="D159" i="18"/>
  <c r="C159" i="18"/>
  <c r="I158" i="18"/>
  <c r="I157" i="18"/>
  <c r="I156" i="18"/>
  <c r="I155" i="18"/>
  <c r="I154" i="18"/>
  <c r="I153" i="18"/>
  <c r="I152" i="18"/>
  <c r="I159" i="18"/>
  <c r="H151" i="18"/>
  <c r="D151" i="18"/>
  <c r="C151" i="18"/>
  <c r="I150" i="18"/>
  <c r="I149" i="18"/>
  <c r="I148" i="18"/>
  <c r="I147" i="18"/>
  <c r="I146" i="18"/>
  <c r="I145" i="18"/>
  <c r="I144" i="18"/>
  <c r="I151" i="18"/>
  <c r="H143" i="18"/>
  <c r="D143" i="18"/>
  <c r="C143" i="18"/>
  <c r="I142" i="18"/>
  <c r="I141" i="18"/>
  <c r="I140" i="18"/>
  <c r="I139" i="18"/>
  <c r="I138" i="18"/>
  <c r="I137" i="18"/>
  <c r="I136" i="18"/>
  <c r="I143" i="18"/>
  <c r="H123" i="18"/>
  <c r="D123" i="18"/>
  <c r="C123" i="18"/>
  <c r="I122" i="18"/>
  <c r="I121" i="18"/>
  <c r="I120" i="18"/>
  <c r="I119" i="18"/>
  <c r="I118" i="18"/>
  <c r="I117" i="18"/>
  <c r="I116" i="18"/>
  <c r="I123" i="18"/>
  <c r="H115" i="18"/>
  <c r="D115" i="18"/>
  <c r="C115" i="18"/>
  <c r="I114" i="18"/>
  <c r="I113" i="18"/>
  <c r="I112" i="18"/>
  <c r="I111" i="18"/>
  <c r="I110" i="18"/>
  <c r="I109" i="18"/>
  <c r="I108" i="18"/>
  <c r="I115" i="18"/>
  <c r="H107" i="18"/>
  <c r="D107" i="18"/>
  <c r="C107" i="18"/>
  <c r="I106" i="18"/>
  <c r="I105" i="18"/>
  <c r="I104" i="18"/>
  <c r="I103" i="18"/>
  <c r="I102" i="18"/>
  <c r="I101" i="18"/>
  <c r="I100" i="18"/>
  <c r="I107" i="18"/>
  <c r="H99" i="18"/>
  <c r="D99" i="18"/>
  <c r="C99" i="18"/>
  <c r="I98" i="18"/>
  <c r="I97" i="18"/>
  <c r="I96" i="18"/>
  <c r="I95" i="18"/>
  <c r="I94" i="18"/>
  <c r="I93" i="18"/>
  <c r="I92" i="18"/>
  <c r="H79" i="18"/>
  <c r="D79" i="18"/>
  <c r="C79" i="18"/>
  <c r="I78" i="18"/>
  <c r="I77" i="18"/>
  <c r="I76" i="18"/>
  <c r="I75" i="18"/>
  <c r="I74" i="18"/>
  <c r="I73" i="18"/>
  <c r="I72" i="18"/>
  <c r="I79" i="18"/>
  <c r="D71" i="18"/>
  <c r="C71" i="18"/>
  <c r="I70" i="18"/>
  <c r="I69" i="18"/>
  <c r="I68" i="18"/>
  <c r="I66" i="18"/>
  <c r="I65" i="18"/>
  <c r="I71" i="18"/>
  <c r="H63" i="18"/>
  <c r="D63" i="18"/>
  <c r="C63" i="18"/>
  <c r="I62" i="18"/>
  <c r="I61" i="18"/>
  <c r="I60" i="18"/>
  <c r="I59" i="18"/>
  <c r="I58" i="18"/>
  <c r="I57" i="18"/>
  <c r="I56" i="18"/>
  <c r="I63" i="18"/>
  <c r="H55" i="18"/>
  <c r="D55" i="18"/>
  <c r="C55" i="18"/>
  <c r="I54" i="18"/>
  <c r="I53" i="18"/>
  <c r="I52" i="18"/>
  <c r="I51" i="18"/>
  <c r="I50" i="18"/>
  <c r="I49" i="18"/>
  <c r="I48" i="18"/>
  <c r="I55" i="18"/>
  <c r="H211" i="17"/>
  <c r="D211" i="17"/>
  <c r="C211" i="17"/>
  <c r="I210" i="17"/>
  <c r="I209" i="17"/>
  <c r="I208" i="17"/>
  <c r="I207" i="17"/>
  <c r="I206" i="17"/>
  <c r="I205" i="17"/>
  <c r="I204" i="17"/>
  <c r="I211" i="17"/>
  <c r="H203" i="17"/>
  <c r="D203" i="17"/>
  <c r="C203" i="17"/>
  <c r="I202" i="17"/>
  <c r="I201" i="17"/>
  <c r="I200" i="17"/>
  <c r="I199" i="17"/>
  <c r="I198" i="17"/>
  <c r="I197" i="17"/>
  <c r="I196" i="17"/>
  <c r="I203" i="17"/>
  <c r="H195" i="17"/>
  <c r="D195" i="17"/>
  <c r="C195" i="17"/>
  <c r="I194" i="17"/>
  <c r="I193" i="17"/>
  <c r="I192" i="17"/>
  <c r="I191" i="17"/>
  <c r="I190" i="17"/>
  <c r="I189" i="17"/>
  <c r="I188" i="17"/>
  <c r="I195" i="17"/>
  <c r="H187" i="17"/>
  <c r="D187" i="17"/>
  <c r="C187" i="17"/>
  <c r="I186" i="17"/>
  <c r="I185" i="17"/>
  <c r="I184" i="17"/>
  <c r="I183" i="17"/>
  <c r="I182" i="17"/>
  <c r="I181" i="17"/>
  <c r="I180" i="17"/>
  <c r="I187" i="17"/>
  <c r="H167" i="17"/>
  <c r="D167" i="17"/>
  <c r="C167" i="17"/>
  <c r="I166" i="17"/>
  <c r="I165" i="17"/>
  <c r="I164" i="17"/>
  <c r="I163" i="17"/>
  <c r="I162" i="17"/>
  <c r="I161" i="17"/>
  <c r="I160" i="17"/>
  <c r="I167" i="17"/>
  <c r="H159" i="17"/>
  <c r="D159" i="17"/>
  <c r="C159" i="17"/>
  <c r="I158" i="17"/>
  <c r="I157" i="17"/>
  <c r="I156" i="17"/>
  <c r="I155" i="17"/>
  <c r="I154" i="17"/>
  <c r="I153" i="17"/>
  <c r="I152" i="17"/>
  <c r="I159" i="17"/>
  <c r="H151" i="17"/>
  <c r="D151" i="17"/>
  <c r="C151" i="17"/>
  <c r="I150" i="17"/>
  <c r="I149" i="17"/>
  <c r="I148" i="17"/>
  <c r="I147" i="17"/>
  <c r="I146" i="17"/>
  <c r="I145" i="17"/>
  <c r="I144" i="17"/>
  <c r="I151" i="17"/>
  <c r="H143" i="17"/>
  <c r="D143" i="17"/>
  <c r="C143" i="17"/>
  <c r="I142" i="17"/>
  <c r="I141" i="17"/>
  <c r="I140" i="17"/>
  <c r="I139" i="17"/>
  <c r="I138" i="17"/>
  <c r="I137" i="17"/>
  <c r="I136" i="17"/>
  <c r="I143" i="17"/>
  <c r="H123" i="17"/>
  <c r="D123" i="17"/>
  <c r="C123" i="17"/>
  <c r="I122" i="17"/>
  <c r="I121" i="17"/>
  <c r="I120" i="17"/>
  <c r="I119" i="17"/>
  <c r="I118" i="17"/>
  <c r="I117" i="17"/>
  <c r="I116" i="17"/>
  <c r="I123" i="17"/>
  <c r="H115" i="17"/>
  <c r="D115" i="17"/>
  <c r="C115" i="17"/>
  <c r="I114" i="17"/>
  <c r="I113" i="17"/>
  <c r="I112" i="17"/>
  <c r="I111" i="17"/>
  <c r="I110" i="17"/>
  <c r="I109" i="17"/>
  <c r="I108" i="17"/>
  <c r="I115" i="17"/>
  <c r="H107" i="17"/>
  <c r="D107" i="17"/>
  <c r="C107" i="17"/>
  <c r="I106" i="17"/>
  <c r="I105" i="17"/>
  <c r="I104" i="17"/>
  <c r="I103" i="17"/>
  <c r="I102" i="17"/>
  <c r="I101" i="17"/>
  <c r="I100" i="17"/>
  <c r="I107" i="17" s="1"/>
  <c r="I124" i="17" s="1"/>
  <c r="H99" i="17"/>
  <c r="D99" i="17"/>
  <c r="C99" i="17"/>
  <c r="I92" i="17"/>
  <c r="H79" i="17"/>
  <c r="D79" i="17"/>
  <c r="C79" i="17"/>
  <c r="I78" i="17"/>
  <c r="I75" i="17"/>
  <c r="I74" i="17"/>
  <c r="I73" i="17"/>
  <c r="I72" i="17"/>
  <c r="H71" i="17"/>
  <c r="D71" i="17"/>
  <c r="C71" i="17"/>
  <c r="I70" i="17"/>
  <c r="I69" i="17"/>
  <c r="I68" i="17"/>
  <c r="I67" i="17"/>
  <c r="I66" i="17"/>
  <c r="I65" i="17"/>
  <c r="I64" i="17"/>
  <c r="I71" i="17"/>
  <c r="H63" i="17"/>
  <c r="D63" i="17"/>
  <c r="C63" i="17"/>
  <c r="I62" i="17"/>
  <c r="I61" i="17"/>
  <c r="I60" i="17"/>
  <c r="I59" i="17"/>
  <c r="I58" i="17"/>
  <c r="I57" i="17"/>
  <c r="I56" i="17"/>
  <c r="I63" i="17"/>
  <c r="H55" i="17"/>
  <c r="D55" i="17"/>
  <c r="C55" i="17"/>
  <c r="I54" i="17"/>
  <c r="I53" i="17"/>
  <c r="I52" i="17"/>
  <c r="I51" i="17"/>
  <c r="I50" i="17"/>
  <c r="I49" i="17"/>
  <c r="I48" i="17"/>
  <c r="I55" i="17"/>
  <c r="H211" i="16"/>
  <c r="D211" i="16"/>
  <c r="C211" i="16"/>
  <c r="I210" i="16"/>
  <c r="I209" i="16"/>
  <c r="I208" i="16"/>
  <c r="I207" i="16"/>
  <c r="I206" i="16"/>
  <c r="I205" i="16"/>
  <c r="I204" i="16"/>
  <c r="I211" i="16"/>
  <c r="H203" i="16"/>
  <c r="D203" i="16"/>
  <c r="C203" i="16"/>
  <c r="I202" i="16"/>
  <c r="I201" i="16"/>
  <c r="I200" i="16"/>
  <c r="I199" i="16"/>
  <c r="I198" i="16"/>
  <c r="I197" i="16"/>
  <c r="I196" i="16"/>
  <c r="I203" i="16"/>
  <c r="H195" i="16"/>
  <c r="D195" i="16"/>
  <c r="C195" i="16"/>
  <c r="I194" i="16"/>
  <c r="I193" i="16"/>
  <c r="I192" i="16"/>
  <c r="I191" i="16"/>
  <c r="I190" i="16"/>
  <c r="I189" i="16"/>
  <c r="I188" i="16"/>
  <c r="I195" i="16"/>
  <c r="H187" i="16"/>
  <c r="D187" i="16"/>
  <c r="C187" i="16"/>
  <c r="I186" i="16"/>
  <c r="I185" i="16"/>
  <c r="I184" i="16"/>
  <c r="I183" i="16"/>
  <c r="I182" i="16"/>
  <c r="I181" i="16"/>
  <c r="I180" i="16"/>
  <c r="I187" i="16"/>
  <c r="H167" i="16"/>
  <c r="D167" i="16"/>
  <c r="C167" i="16"/>
  <c r="I166" i="16"/>
  <c r="I165" i="16"/>
  <c r="I164" i="16"/>
  <c r="I163" i="16"/>
  <c r="I162" i="16"/>
  <c r="I161" i="16"/>
  <c r="I160" i="16"/>
  <c r="I167" i="16"/>
  <c r="H159" i="16"/>
  <c r="D159" i="16"/>
  <c r="C159" i="16"/>
  <c r="I158" i="16"/>
  <c r="I157" i="16"/>
  <c r="I156" i="16"/>
  <c r="I155" i="16"/>
  <c r="I154" i="16"/>
  <c r="I153" i="16"/>
  <c r="I152" i="16"/>
  <c r="I159" i="16"/>
  <c r="H151" i="16"/>
  <c r="D151" i="16"/>
  <c r="C151" i="16"/>
  <c r="I150" i="16"/>
  <c r="I149" i="16"/>
  <c r="I148" i="16"/>
  <c r="I147" i="16"/>
  <c r="I146" i="16"/>
  <c r="I145" i="16"/>
  <c r="I144" i="16"/>
  <c r="I151" i="16"/>
  <c r="H143" i="16"/>
  <c r="D143" i="16"/>
  <c r="C143" i="16"/>
  <c r="I142" i="16"/>
  <c r="I141" i="16"/>
  <c r="I140" i="16"/>
  <c r="I139" i="16"/>
  <c r="I138" i="16"/>
  <c r="I137" i="16"/>
  <c r="I136" i="16"/>
  <c r="I143" i="16"/>
  <c r="H123" i="16"/>
  <c r="D123" i="16"/>
  <c r="C123" i="16"/>
  <c r="I122" i="16"/>
  <c r="I121" i="16"/>
  <c r="I120" i="16"/>
  <c r="I119" i="16"/>
  <c r="I118" i="16"/>
  <c r="I117" i="16"/>
  <c r="I116" i="16"/>
  <c r="I123" i="16"/>
  <c r="H115" i="16"/>
  <c r="D115" i="16"/>
  <c r="C115" i="16"/>
  <c r="I114" i="16"/>
  <c r="I113" i="16"/>
  <c r="I112" i="16"/>
  <c r="I111" i="16"/>
  <c r="I110" i="16"/>
  <c r="I109" i="16"/>
  <c r="I108" i="16"/>
  <c r="I115" i="16"/>
  <c r="H107" i="16"/>
  <c r="D107" i="16"/>
  <c r="C107" i="16"/>
  <c r="I106" i="16"/>
  <c r="I105" i="16"/>
  <c r="I104" i="16"/>
  <c r="I103" i="16"/>
  <c r="I102" i="16"/>
  <c r="I101" i="16"/>
  <c r="I100" i="16"/>
  <c r="I107" i="16"/>
  <c r="H99" i="16"/>
  <c r="D99" i="16"/>
  <c r="C99" i="16"/>
  <c r="I98" i="16"/>
  <c r="I97" i="16"/>
  <c r="I96" i="16"/>
  <c r="I95" i="16"/>
  <c r="I94" i="16"/>
  <c r="I93" i="16"/>
  <c r="I99" i="16" s="1"/>
  <c r="I124" i="16" s="1"/>
  <c r="I92" i="16"/>
  <c r="H79" i="16"/>
  <c r="D79" i="16"/>
  <c r="C79" i="16"/>
  <c r="I78" i="16"/>
  <c r="I77" i="16"/>
  <c r="I76" i="16"/>
  <c r="I75" i="16"/>
  <c r="I74" i="16"/>
  <c r="I73" i="16"/>
  <c r="I72" i="16"/>
  <c r="I79" i="16"/>
  <c r="H71" i="16"/>
  <c r="D71" i="16"/>
  <c r="C71" i="16"/>
  <c r="I70" i="16"/>
  <c r="I69" i="16"/>
  <c r="I68" i="16"/>
  <c r="I67" i="16"/>
  <c r="I66" i="16"/>
  <c r="I65" i="16"/>
  <c r="I64" i="16"/>
  <c r="I71" i="16"/>
  <c r="H63" i="16"/>
  <c r="D63" i="16"/>
  <c r="C63" i="16"/>
  <c r="I62" i="16"/>
  <c r="I61" i="16"/>
  <c r="I60" i="16"/>
  <c r="I59" i="16"/>
  <c r="I58" i="16"/>
  <c r="I57" i="16"/>
  <c r="I56" i="16"/>
  <c r="I63" i="16"/>
  <c r="H55" i="16"/>
  <c r="D55" i="16"/>
  <c r="C55" i="16"/>
  <c r="I54" i="16"/>
  <c r="I53" i="16"/>
  <c r="I52" i="16"/>
  <c r="I51" i="16"/>
  <c r="I50" i="16"/>
  <c r="I49" i="16"/>
  <c r="I48" i="16"/>
  <c r="I55" i="16"/>
  <c r="H211" i="15"/>
  <c r="D211" i="15"/>
  <c r="C211" i="15"/>
  <c r="I210" i="15"/>
  <c r="I209" i="15"/>
  <c r="I208" i="15"/>
  <c r="I207" i="15"/>
  <c r="I206" i="15"/>
  <c r="I205" i="15"/>
  <c r="I204" i="15"/>
  <c r="I211" i="15"/>
  <c r="H203" i="15"/>
  <c r="D203" i="15"/>
  <c r="C203" i="15"/>
  <c r="I202" i="15"/>
  <c r="I201" i="15"/>
  <c r="I200" i="15"/>
  <c r="I199" i="15"/>
  <c r="I198" i="15"/>
  <c r="I197" i="15"/>
  <c r="I196" i="15"/>
  <c r="I203" i="15"/>
  <c r="H195" i="15"/>
  <c r="D195" i="15"/>
  <c r="C195" i="15"/>
  <c r="I194" i="15"/>
  <c r="I193" i="15"/>
  <c r="I192" i="15"/>
  <c r="I191" i="15"/>
  <c r="I190" i="15"/>
  <c r="I189" i="15"/>
  <c r="I188" i="15"/>
  <c r="I195" i="15"/>
  <c r="H187" i="15"/>
  <c r="D187" i="15"/>
  <c r="C187" i="15"/>
  <c r="I186" i="15"/>
  <c r="I185" i="15"/>
  <c r="I184" i="15"/>
  <c r="I183" i="15"/>
  <c r="I182" i="15"/>
  <c r="I181" i="15"/>
  <c r="I180" i="15"/>
  <c r="I187" i="15"/>
  <c r="H167" i="15"/>
  <c r="D167" i="15"/>
  <c r="C167" i="15"/>
  <c r="I166" i="15"/>
  <c r="I165" i="15"/>
  <c r="I164" i="15"/>
  <c r="I163" i="15"/>
  <c r="I162" i="15"/>
  <c r="I161" i="15"/>
  <c r="I160" i="15"/>
  <c r="I167" i="15"/>
  <c r="H159" i="15"/>
  <c r="D159" i="15"/>
  <c r="C159" i="15"/>
  <c r="I158" i="15"/>
  <c r="I157" i="15"/>
  <c r="I156" i="15"/>
  <c r="I155" i="15"/>
  <c r="I154" i="15"/>
  <c r="I153" i="15"/>
  <c r="I152" i="15"/>
  <c r="I159" i="15"/>
  <c r="H151" i="15"/>
  <c r="D151" i="15"/>
  <c r="C151" i="15"/>
  <c r="I150" i="15"/>
  <c r="I149" i="15"/>
  <c r="I148" i="15"/>
  <c r="I147" i="15"/>
  <c r="I146" i="15"/>
  <c r="I145" i="15"/>
  <c r="I144" i="15"/>
  <c r="I151" i="15"/>
  <c r="H143" i="15"/>
  <c r="D143" i="15"/>
  <c r="C143" i="15"/>
  <c r="I142" i="15"/>
  <c r="I141" i="15"/>
  <c r="I140" i="15"/>
  <c r="I139" i="15"/>
  <c r="I138" i="15"/>
  <c r="I137" i="15"/>
  <c r="I136" i="15"/>
  <c r="I143" i="15"/>
  <c r="D123" i="15"/>
  <c r="C123" i="15"/>
  <c r="I122" i="15"/>
  <c r="I121" i="15"/>
  <c r="I120" i="15"/>
  <c r="I119" i="15"/>
  <c r="I118" i="15"/>
  <c r="I117" i="15"/>
  <c r="I116" i="15"/>
  <c r="I123" i="15"/>
  <c r="H115" i="15"/>
  <c r="D115" i="15"/>
  <c r="C115" i="15"/>
  <c r="I114" i="15"/>
  <c r="I113" i="15"/>
  <c r="I112" i="15"/>
  <c r="I111" i="15"/>
  <c r="I110" i="15"/>
  <c r="I109" i="15"/>
  <c r="I108" i="15"/>
  <c r="I115" i="15"/>
  <c r="H107" i="15"/>
  <c r="D107" i="15"/>
  <c r="C107" i="15"/>
  <c r="I106" i="15"/>
  <c r="I105" i="15"/>
  <c r="I104" i="15"/>
  <c r="I103" i="15"/>
  <c r="I102" i="15"/>
  <c r="I101" i="15"/>
  <c r="I100" i="15"/>
  <c r="I107" i="15"/>
  <c r="H99" i="15"/>
  <c r="D99" i="15"/>
  <c r="C99" i="15"/>
  <c r="I98" i="15"/>
  <c r="I97" i="15"/>
  <c r="I94" i="15"/>
  <c r="I93" i="15"/>
  <c r="I99" i="15" s="1"/>
  <c r="I124" i="15" s="1"/>
  <c r="I92" i="15"/>
  <c r="D79" i="15"/>
  <c r="C79" i="15"/>
  <c r="I78" i="15"/>
  <c r="I77" i="15"/>
  <c r="I76" i="15"/>
  <c r="I75" i="15"/>
  <c r="I74" i="15"/>
  <c r="I73" i="15"/>
  <c r="I72" i="15"/>
  <c r="I79" i="15"/>
  <c r="H71" i="15"/>
  <c r="D71" i="15"/>
  <c r="C71" i="15"/>
  <c r="I70" i="15"/>
  <c r="I69" i="15"/>
  <c r="I68" i="15"/>
  <c r="I67" i="15"/>
  <c r="I66" i="15"/>
  <c r="I65" i="15"/>
  <c r="I64" i="15"/>
  <c r="I71" i="15"/>
  <c r="H63" i="15"/>
  <c r="D63" i="15"/>
  <c r="C63" i="15"/>
  <c r="I62" i="15"/>
  <c r="I61" i="15"/>
  <c r="I60" i="15"/>
  <c r="I59" i="15"/>
  <c r="I58" i="15"/>
  <c r="I56" i="15"/>
  <c r="I63" i="15"/>
  <c r="H55" i="15"/>
  <c r="D55" i="15"/>
  <c r="C55" i="15"/>
  <c r="I54" i="15"/>
  <c r="I53" i="15"/>
  <c r="I52" i="15"/>
  <c r="I51" i="15"/>
  <c r="I50" i="15"/>
  <c r="I49" i="15"/>
  <c r="I48" i="15"/>
  <c r="I55" i="15"/>
  <c r="H211" i="14"/>
  <c r="D211" i="14"/>
  <c r="C211" i="14"/>
  <c r="I210" i="14"/>
  <c r="I209" i="14"/>
  <c r="I208" i="14"/>
  <c r="I207" i="14"/>
  <c r="I206" i="14"/>
  <c r="I205" i="14"/>
  <c r="I204" i="14"/>
  <c r="I211" i="14"/>
  <c r="H203" i="14"/>
  <c r="D203" i="14"/>
  <c r="C203" i="14"/>
  <c r="I202" i="14"/>
  <c r="I201" i="14"/>
  <c r="I200" i="14"/>
  <c r="I199" i="14"/>
  <c r="I198" i="14"/>
  <c r="I197" i="14"/>
  <c r="I196" i="14"/>
  <c r="I203" i="14"/>
  <c r="H195" i="14"/>
  <c r="D195" i="14"/>
  <c r="C195" i="14"/>
  <c r="I194" i="14"/>
  <c r="I193" i="14"/>
  <c r="I192" i="14"/>
  <c r="I191" i="14"/>
  <c r="I190" i="14"/>
  <c r="I189" i="14"/>
  <c r="I188" i="14"/>
  <c r="I195" i="14"/>
  <c r="H187" i="14"/>
  <c r="D187" i="14"/>
  <c r="C187" i="14"/>
  <c r="I186" i="14"/>
  <c r="I185" i="14"/>
  <c r="I184" i="14"/>
  <c r="I183" i="14"/>
  <c r="I182" i="14"/>
  <c r="I181" i="14"/>
  <c r="I180" i="14"/>
  <c r="I187" i="14"/>
  <c r="H167" i="14"/>
  <c r="D167" i="14"/>
  <c r="C167" i="14"/>
  <c r="I166" i="14"/>
  <c r="I165" i="14"/>
  <c r="I164" i="14"/>
  <c r="I163" i="14"/>
  <c r="I162" i="14"/>
  <c r="I161" i="14"/>
  <c r="I160" i="14"/>
  <c r="I167" i="14"/>
  <c r="H159" i="14"/>
  <c r="D159" i="14"/>
  <c r="C159" i="14"/>
  <c r="I158" i="14"/>
  <c r="I157" i="14"/>
  <c r="I156" i="14"/>
  <c r="I155" i="14"/>
  <c r="I154" i="14"/>
  <c r="I153" i="14"/>
  <c r="I152" i="14"/>
  <c r="I159" i="14"/>
  <c r="H151" i="14"/>
  <c r="D151" i="14"/>
  <c r="C151" i="14"/>
  <c r="I150" i="14"/>
  <c r="I149" i="14"/>
  <c r="I148" i="14"/>
  <c r="I147" i="14"/>
  <c r="I146" i="14"/>
  <c r="I145" i="14"/>
  <c r="I144" i="14"/>
  <c r="I151" i="14"/>
  <c r="H143" i="14"/>
  <c r="D143" i="14"/>
  <c r="C143" i="14"/>
  <c r="I142" i="14"/>
  <c r="I141" i="14"/>
  <c r="I140" i="14"/>
  <c r="I139" i="14"/>
  <c r="I138" i="14"/>
  <c r="I137" i="14"/>
  <c r="I136" i="14"/>
  <c r="I143" i="14"/>
  <c r="H123" i="14"/>
  <c r="D123" i="14"/>
  <c r="C123" i="14"/>
  <c r="I122" i="14"/>
  <c r="I121" i="14"/>
  <c r="I120" i="14"/>
  <c r="I119" i="14"/>
  <c r="I118" i="14"/>
  <c r="I117" i="14"/>
  <c r="I116" i="14"/>
  <c r="I123" i="14"/>
  <c r="H115" i="14"/>
  <c r="D115" i="14"/>
  <c r="C115" i="14"/>
  <c r="I114" i="14"/>
  <c r="I113" i="14"/>
  <c r="I112" i="14"/>
  <c r="I111" i="14"/>
  <c r="I110" i="14"/>
  <c r="I109" i="14"/>
  <c r="I108" i="14"/>
  <c r="I115" i="14"/>
  <c r="H107" i="14"/>
  <c r="D107" i="14"/>
  <c r="C107" i="14"/>
  <c r="I106" i="14"/>
  <c r="I105" i="14"/>
  <c r="I104" i="14"/>
  <c r="I103" i="14"/>
  <c r="I102" i="14"/>
  <c r="I101" i="14"/>
  <c r="I107" i="14"/>
  <c r="H99" i="14"/>
  <c r="H124" i="14" s="1"/>
  <c r="D99" i="14"/>
  <c r="C99" i="14"/>
  <c r="I98" i="14"/>
  <c r="I97" i="14"/>
  <c r="I96" i="14"/>
  <c r="I95" i="14"/>
  <c r="I94" i="14"/>
  <c r="I93" i="14"/>
  <c r="I92" i="14"/>
  <c r="H79" i="14"/>
  <c r="D79" i="14"/>
  <c r="C79" i="14"/>
  <c r="I78" i="14"/>
  <c r="I77" i="14"/>
  <c r="I74" i="14"/>
  <c r="I73" i="14"/>
  <c r="I72" i="14"/>
  <c r="I79" i="14"/>
  <c r="H71" i="14"/>
  <c r="D71" i="14"/>
  <c r="C71" i="14"/>
  <c r="I70" i="14"/>
  <c r="I69" i="14"/>
  <c r="I68" i="14"/>
  <c r="I67" i="14"/>
  <c r="I66" i="14"/>
  <c r="I65" i="14"/>
  <c r="I64" i="14"/>
  <c r="I71" i="14"/>
  <c r="H63" i="14"/>
  <c r="D63" i="14"/>
  <c r="C63" i="14"/>
  <c r="I62" i="14"/>
  <c r="I61" i="14"/>
  <c r="I60" i="14"/>
  <c r="I59" i="14"/>
  <c r="I58" i="14"/>
  <c r="I57" i="14"/>
  <c r="I56" i="14"/>
  <c r="I63" i="14"/>
  <c r="H55" i="14"/>
  <c r="D55" i="14"/>
  <c r="I54" i="14"/>
  <c r="I53" i="14"/>
  <c r="I52" i="14"/>
  <c r="I51" i="14"/>
  <c r="I50" i="14"/>
  <c r="I49" i="14"/>
  <c r="I48" i="14"/>
  <c r="I55" i="14"/>
  <c r="H211" i="13"/>
  <c r="D211" i="13"/>
  <c r="C211" i="13"/>
  <c r="I210" i="13"/>
  <c r="I209" i="13"/>
  <c r="I208" i="13"/>
  <c r="I207" i="13"/>
  <c r="I206" i="13"/>
  <c r="I205" i="13"/>
  <c r="I204" i="13"/>
  <c r="I211" i="13"/>
  <c r="H203" i="13"/>
  <c r="D203" i="13"/>
  <c r="C203" i="13"/>
  <c r="I202" i="13"/>
  <c r="I201" i="13"/>
  <c r="I200" i="13"/>
  <c r="I199" i="13"/>
  <c r="I198" i="13"/>
  <c r="I197" i="13"/>
  <c r="I196" i="13"/>
  <c r="I203" i="13"/>
  <c r="H195" i="13"/>
  <c r="D195" i="13"/>
  <c r="C195" i="13"/>
  <c r="I194" i="13"/>
  <c r="I193" i="13"/>
  <c r="I192" i="13"/>
  <c r="I191" i="13"/>
  <c r="I190" i="13"/>
  <c r="I189" i="13"/>
  <c r="I188" i="13"/>
  <c r="I195" i="13"/>
  <c r="H187" i="13"/>
  <c r="D187" i="13"/>
  <c r="C187" i="13"/>
  <c r="I186" i="13"/>
  <c r="I185" i="13"/>
  <c r="I184" i="13"/>
  <c r="I183" i="13"/>
  <c r="I182" i="13"/>
  <c r="I181" i="13"/>
  <c r="I180" i="13"/>
  <c r="I187" i="13"/>
  <c r="H167" i="13"/>
  <c r="D167" i="13"/>
  <c r="C167" i="13"/>
  <c r="I166" i="13"/>
  <c r="I165" i="13"/>
  <c r="I164" i="13"/>
  <c r="I163" i="13"/>
  <c r="I162" i="13"/>
  <c r="I161" i="13"/>
  <c r="I160" i="13"/>
  <c r="I167" i="13"/>
  <c r="H159" i="13"/>
  <c r="D159" i="13"/>
  <c r="C159" i="13"/>
  <c r="I158" i="13"/>
  <c r="I157" i="13"/>
  <c r="I156" i="13"/>
  <c r="I155" i="13"/>
  <c r="I154" i="13"/>
  <c r="I153" i="13"/>
  <c r="I152" i="13"/>
  <c r="I159" i="13"/>
  <c r="H151" i="13"/>
  <c r="D151" i="13"/>
  <c r="C151" i="13"/>
  <c r="I150" i="13"/>
  <c r="I149" i="13"/>
  <c r="I148" i="13"/>
  <c r="I147" i="13"/>
  <c r="I146" i="13"/>
  <c r="I145" i="13"/>
  <c r="I144" i="13"/>
  <c r="I151" i="13"/>
  <c r="H143" i="13"/>
  <c r="D143" i="13"/>
  <c r="C143" i="13"/>
  <c r="I142" i="13"/>
  <c r="I141" i="13"/>
  <c r="I140" i="13"/>
  <c r="I139" i="13"/>
  <c r="I138" i="13"/>
  <c r="I137" i="13"/>
  <c r="I136" i="13"/>
  <c r="I143" i="13"/>
  <c r="H123" i="13"/>
  <c r="D123" i="13"/>
  <c r="C123" i="13"/>
  <c r="I122" i="13"/>
  <c r="I121" i="13"/>
  <c r="I120" i="13"/>
  <c r="I119" i="13"/>
  <c r="I118" i="13"/>
  <c r="I117" i="13"/>
  <c r="I116" i="13"/>
  <c r="I123" i="13"/>
  <c r="H115" i="13"/>
  <c r="D115" i="13"/>
  <c r="C115" i="13"/>
  <c r="I114" i="13"/>
  <c r="I113" i="13"/>
  <c r="I112" i="13"/>
  <c r="I111" i="13"/>
  <c r="I110" i="13"/>
  <c r="I109" i="13"/>
  <c r="I108" i="13"/>
  <c r="I115" i="13"/>
  <c r="H107" i="13"/>
  <c r="D107" i="13"/>
  <c r="C107" i="13"/>
  <c r="I106" i="13"/>
  <c r="I105" i="13"/>
  <c r="I104" i="13"/>
  <c r="I103" i="13"/>
  <c r="I102" i="13"/>
  <c r="I101" i="13"/>
  <c r="I100" i="13"/>
  <c r="I107" i="13"/>
  <c r="H99" i="13"/>
  <c r="D99" i="13"/>
  <c r="C99" i="13"/>
  <c r="I98" i="13"/>
  <c r="I97" i="13"/>
  <c r="I96" i="13"/>
  <c r="I95" i="13"/>
  <c r="I94" i="13"/>
  <c r="I93" i="13"/>
  <c r="I92" i="13"/>
  <c r="I99" i="13" s="1"/>
  <c r="I124" i="13" s="1"/>
  <c r="H79" i="13"/>
  <c r="D79" i="13"/>
  <c r="C79" i="13"/>
  <c r="I78" i="13"/>
  <c r="I77" i="13"/>
  <c r="I76" i="13"/>
  <c r="I75" i="13"/>
  <c r="I74" i="13"/>
  <c r="I73" i="13"/>
  <c r="I72" i="13"/>
  <c r="H71" i="13"/>
  <c r="D71" i="13"/>
  <c r="C71" i="13"/>
  <c r="I70" i="13"/>
  <c r="I69" i="13"/>
  <c r="I68" i="13"/>
  <c r="I67" i="13"/>
  <c r="I66" i="13"/>
  <c r="I65" i="13"/>
  <c r="I71" i="13" s="1"/>
  <c r="I64" i="13"/>
  <c r="H63" i="13"/>
  <c r="D63" i="13"/>
  <c r="C63" i="13"/>
  <c r="I62" i="13"/>
  <c r="I61" i="13"/>
  <c r="I60" i="13"/>
  <c r="I58" i="13"/>
  <c r="I57" i="13"/>
  <c r="I56" i="13"/>
  <c r="I63" i="13"/>
  <c r="H55" i="13"/>
  <c r="D55" i="13"/>
  <c r="C55" i="13"/>
  <c r="I54" i="13"/>
  <c r="I53" i="13"/>
  <c r="I52" i="13"/>
  <c r="I51" i="13"/>
  <c r="I50" i="13"/>
  <c r="I49" i="13"/>
  <c r="I48" i="13"/>
  <c r="I55" i="13"/>
  <c r="H211" i="12"/>
  <c r="D211" i="12"/>
  <c r="C211" i="12"/>
  <c r="I210" i="12"/>
  <c r="I209" i="12"/>
  <c r="I208" i="12"/>
  <c r="I211" i="12" s="1"/>
  <c r="I207" i="12"/>
  <c r="I206" i="12"/>
  <c r="I205" i="12"/>
  <c r="I204" i="12"/>
  <c r="H203" i="12"/>
  <c r="D203" i="12"/>
  <c r="C203" i="12"/>
  <c r="I202" i="12"/>
  <c r="I201" i="12"/>
  <c r="I200" i="12"/>
  <c r="I199" i="12"/>
  <c r="I203" i="12" s="1"/>
  <c r="I198" i="12"/>
  <c r="I197" i="12"/>
  <c r="I196" i="12"/>
  <c r="H195" i="12"/>
  <c r="D195" i="12"/>
  <c r="D212" i="12" s="1"/>
  <c r="C195" i="12"/>
  <c r="I194" i="12"/>
  <c r="I193" i="12"/>
  <c r="I192" i="12"/>
  <c r="I191" i="12"/>
  <c r="I190" i="12"/>
  <c r="I189" i="12"/>
  <c r="I188" i="12"/>
  <c r="I195" i="12" s="1"/>
  <c r="H187" i="12"/>
  <c r="D187" i="12"/>
  <c r="C187" i="12"/>
  <c r="C212" i="12" s="1"/>
  <c r="I186" i="12"/>
  <c r="I185" i="12"/>
  <c r="I184" i="12"/>
  <c r="I183" i="12"/>
  <c r="I182" i="12"/>
  <c r="I181" i="12"/>
  <c r="I187" i="12" s="1"/>
  <c r="I180" i="12"/>
  <c r="H167" i="12"/>
  <c r="D167" i="12"/>
  <c r="C167" i="12"/>
  <c r="C168" i="12" s="1"/>
  <c r="C169" i="12" s="1"/>
  <c r="I166" i="12"/>
  <c r="I165" i="12"/>
  <c r="I164" i="12"/>
  <c r="I163" i="12"/>
  <c r="I162" i="12"/>
  <c r="I161" i="12"/>
  <c r="I160" i="12"/>
  <c r="I167" i="12" s="1"/>
  <c r="H159" i="12"/>
  <c r="D159" i="12"/>
  <c r="C159" i="12"/>
  <c r="I158" i="12"/>
  <c r="I157" i="12"/>
  <c r="I159" i="12" s="1"/>
  <c r="I156" i="12"/>
  <c r="I155" i="12"/>
  <c r="I154" i="12"/>
  <c r="I153" i="12"/>
  <c r="I152" i="12"/>
  <c r="H151" i="12"/>
  <c r="D151" i="12"/>
  <c r="C151" i="12"/>
  <c r="I150" i="12"/>
  <c r="I149" i="12"/>
  <c r="I148" i="12"/>
  <c r="I151" i="12" s="1"/>
  <c r="I147" i="12"/>
  <c r="I146" i="12"/>
  <c r="I145" i="12"/>
  <c r="I144" i="12"/>
  <c r="H143" i="12"/>
  <c r="H168" i="12" s="1"/>
  <c r="D143" i="12"/>
  <c r="C143" i="12"/>
  <c r="I142" i="12"/>
  <c r="I141" i="12"/>
  <c r="I140" i="12"/>
  <c r="I139" i="12"/>
  <c r="I143" i="12" s="1"/>
  <c r="I138" i="12"/>
  <c r="I137" i="12"/>
  <c r="I136" i="12"/>
  <c r="H123" i="12"/>
  <c r="D123" i="12"/>
  <c r="C123" i="12"/>
  <c r="I122" i="12"/>
  <c r="I121" i="12"/>
  <c r="I120" i="12"/>
  <c r="I119" i="12"/>
  <c r="I118" i="12"/>
  <c r="I117" i="12"/>
  <c r="I116" i="12"/>
  <c r="I123" i="12" s="1"/>
  <c r="H115" i="12"/>
  <c r="D115" i="12"/>
  <c r="C115" i="12"/>
  <c r="I114" i="12"/>
  <c r="I113" i="12"/>
  <c r="I112" i="12"/>
  <c r="I111" i="12"/>
  <c r="I110" i="12"/>
  <c r="I109" i="12"/>
  <c r="I115" i="12" s="1"/>
  <c r="I108" i="12"/>
  <c r="H107" i="12"/>
  <c r="D107" i="12"/>
  <c r="C107" i="12"/>
  <c r="I106" i="12"/>
  <c r="I105" i="12"/>
  <c r="I104" i="12"/>
  <c r="I103" i="12"/>
  <c r="I102" i="12"/>
  <c r="I101" i="12"/>
  <c r="I100" i="12"/>
  <c r="I107" i="12" s="1"/>
  <c r="H99" i="12"/>
  <c r="D99" i="12"/>
  <c r="C99" i="12"/>
  <c r="I98" i="12"/>
  <c r="I97" i="12"/>
  <c r="I96" i="12"/>
  <c r="I95" i="12"/>
  <c r="I94" i="12"/>
  <c r="I93" i="12"/>
  <c r="I92" i="12"/>
  <c r="I99" i="12"/>
  <c r="H79" i="12"/>
  <c r="D79" i="12"/>
  <c r="C79" i="12"/>
  <c r="I78" i="12"/>
  <c r="I77" i="12"/>
  <c r="I76" i="12"/>
  <c r="I79" i="12" s="1"/>
  <c r="I75" i="12"/>
  <c r="I74" i="12"/>
  <c r="I73" i="12"/>
  <c r="I72" i="12"/>
  <c r="H71" i="12"/>
  <c r="D71" i="12"/>
  <c r="C71" i="12"/>
  <c r="I70" i="12"/>
  <c r="I69" i="12"/>
  <c r="I67" i="12"/>
  <c r="I65" i="12"/>
  <c r="I64" i="12"/>
  <c r="H63" i="12"/>
  <c r="D63" i="12"/>
  <c r="C63" i="12"/>
  <c r="C80" i="12" s="1"/>
  <c r="I62" i="12"/>
  <c r="I61" i="12"/>
  <c r="I60" i="12"/>
  <c r="I59" i="12"/>
  <c r="I58" i="12"/>
  <c r="I57" i="12"/>
  <c r="I56" i="12"/>
  <c r="H55" i="12"/>
  <c r="D55" i="12"/>
  <c r="C55" i="12"/>
  <c r="I54" i="12"/>
  <c r="I53" i="12"/>
  <c r="I52" i="12"/>
  <c r="I51" i="12"/>
  <c r="I55" i="12" s="1"/>
  <c r="I50" i="12"/>
  <c r="I49" i="12"/>
  <c r="I48" i="12"/>
  <c r="H211" i="11"/>
  <c r="D211" i="11"/>
  <c r="C211" i="11"/>
  <c r="I210" i="11"/>
  <c r="I209" i="11"/>
  <c r="I208" i="11"/>
  <c r="I207" i="11"/>
  <c r="I206" i="11"/>
  <c r="I205" i="11"/>
  <c r="I204" i="11"/>
  <c r="I211" i="11"/>
  <c r="H203" i="11"/>
  <c r="D203" i="11"/>
  <c r="C203" i="11"/>
  <c r="I202" i="11"/>
  <c r="I201" i="11"/>
  <c r="I200" i="11"/>
  <c r="I199" i="11"/>
  <c r="I198" i="11"/>
  <c r="I197" i="11"/>
  <c r="I196" i="11"/>
  <c r="I203" i="11"/>
  <c r="H195" i="11"/>
  <c r="D195" i="11"/>
  <c r="C195" i="11"/>
  <c r="I194" i="11"/>
  <c r="I193" i="11"/>
  <c r="I192" i="11"/>
  <c r="I191" i="11"/>
  <c r="I190" i="11"/>
  <c r="I189" i="11"/>
  <c r="I188" i="11"/>
  <c r="I195" i="11"/>
  <c r="H187" i="11"/>
  <c r="D187" i="11"/>
  <c r="C187" i="11"/>
  <c r="I186" i="11"/>
  <c r="I185" i="11"/>
  <c r="I184" i="11"/>
  <c r="I183" i="11"/>
  <c r="I182" i="11"/>
  <c r="I181" i="11"/>
  <c r="I180" i="11"/>
  <c r="I187" i="11"/>
  <c r="H167" i="11"/>
  <c r="D167" i="11"/>
  <c r="C167" i="11"/>
  <c r="I166" i="11"/>
  <c r="I165" i="11"/>
  <c r="I164" i="11"/>
  <c r="I163" i="11"/>
  <c r="I162" i="11"/>
  <c r="I161" i="11"/>
  <c r="I160" i="11"/>
  <c r="I167" i="11"/>
  <c r="H159" i="11"/>
  <c r="D159" i="11"/>
  <c r="C159" i="11"/>
  <c r="I158" i="11"/>
  <c r="I157" i="11"/>
  <c r="I156" i="11"/>
  <c r="I155" i="11"/>
  <c r="I154" i="11"/>
  <c r="I153" i="11"/>
  <c r="I152" i="11"/>
  <c r="I159" i="11"/>
  <c r="H151" i="11"/>
  <c r="D151" i="11"/>
  <c r="C151" i="11"/>
  <c r="I150" i="11"/>
  <c r="I149" i="11"/>
  <c r="I148" i="11"/>
  <c r="I147" i="11"/>
  <c r="I146" i="11"/>
  <c r="I145" i="11"/>
  <c r="I144" i="11"/>
  <c r="I151" i="11"/>
  <c r="H143" i="11"/>
  <c r="D143" i="11"/>
  <c r="C143" i="11"/>
  <c r="I142" i="11"/>
  <c r="I141" i="11"/>
  <c r="I140" i="11"/>
  <c r="I139" i="11"/>
  <c r="I138" i="11"/>
  <c r="I137" i="11"/>
  <c r="I136" i="11"/>
  <c r="I143" i="11"/>
  <c r="H123" i="11"/>
  <c r="D123" i="11"/>
  <c r="C123" i="11"/>
  <c r="I122" i="11"/>
  <c r="I121" i="11"/>
  <c r="I120" i="11"/>
  <c r="I119" i="11"/>
  <c r="I118" i="11"/>
  <c r="I117" i="11"/>
  <c r="I116" i="11"/>
  <c r="I123" i="11"/>
  <c r="H115" i="11"/>
  <c r="D115" i="11"/>
  <c r="C115" i="11"/>
  <c r="I114" i="11"/>
  <c r="I113" i="11"/>
  <c r="I112" i="11"/>
  <c r="I111" i="11"/>
  <c r="I110" i="11"/>
  <c r="I109" i="11"/>
  <c r="I108" i="11"/>
  <c r="I115" i="11"/>
  <c r="H107" i="11"/>
  <c r="D107" i="11"/>
  <c r="C107" i="11"/>
  <c r="I106" i="11"/>
  <c r="I105" i="11"/>
  <c r="I104" i="11"/>
  <c r="I103" i="11"/>
  <c r="I102" i="11"/>
  <c r="I101" i="11"/>
  <c r="I100" i="11"/>
  <c r="I107" i="11" s="1"/>
  <c r="I124" i="11" s="1"/>
  <c r="I125" i="11" s="1"/>
  <c r="H99" i="11"/>
  <c r="H124" i="11" s="1"/>
  <c r="D99" i="11"/>
  <c r="C99" i="11"/>
  <c r="I98" i="11"/>
  <c r="I97" i="11"/>
  <c r="I96" i="11"/>
  <c r="I95" i="11"/>
  <c r="I94" i="11"/>
  <c r="I93" i="11"/>
  <c r="I92" i="11"/>
  <c r="I99" i="11"/>
  <c r="H79" i="11"/>
  <c r="D79" i="11"/>
  <c r="C79" i="11"/>
  <c r="I78" i="11"/>
  <c r="I77" i="11"/>
  <c r="I76" i="11"/>
  <c r="I75" i="11"/>
  <c r="I74" i="11"/>
  <c r="I73" i="11"/>
  <c r="I72" i="11"/>
  <c r="I79" i="11"/>
  <c r="H71" i="11"/>
  <c r="D71" i="11"/>
  <c r="C71" i="11"/>
  <c r="I71" i="11"/>
  <c r="H63" i="11"/>
  <c r="D63" i="11"/>
  <c r="C63" i="11"/>
  <c r="I60" i="11"/>
  <c r="I59" i="11"/>
  <c r="I58" i="11"/>
  <c r="I57" i="11"/>
  <c r="I56" i="11"/>
  <c r="I63" i="11" s="1"/>
  <c r="H55" i="11"/>
  <c r="D55" i="11"/>
  <c r="C55" i="11"/>
  <c r="I54" i="11"/>
  <c r="I53" i="11"/>
  <c r="I52" i="11"/>
  <c r="I51" i="11"/>
  <c r="I50" i="11"/>
  <c r="I49" i="11"/>
  <c r="I48" i="11"/>
  <c r="I55" i="11"/>
  <c r="H211" i="10"/>
  <c r="D211" i="10"/>
  <c r="C211" i="10"/>
  <c r="I210" i="10"/>
  <c r="I209" i="10"/>
  <c r="I208" i="10"/>
  <c r="I207" i="10"/>
  <c r="I206" i="10"/>
  <c r="I205" i="10"/>
  <c r="I204" i="10"/>
  <c r="I211" i="10"/>
  <c r="H203" i="10"/>
  <c r="D203" i="10"/>
  <c r="C203" i="10"/>
  <c r="I202" i="10"/>
  <c r="I201" i="10"/>
  <c r="I200" i="10"/>
  <c r="I199" i="10"/>
  <c r="I198" i="10"/>
  <c r="I197" i="10"/>
  <c r="I196" i="10"/>
  <c r="I203" i="10"/>
  <c r="H195" i="10"/>
  <c r="D195" i="10"/>
  <c r="C195" i="10"/>
  <c r="I194" i="10"/>
  <c r="I193" i="10"/>
  <c r="I192" i="10"/>
  <c r="I191" i="10"/>
  <c r="I190" i="10"/>
  <c r="I189" i="10"/>
  <c r="I188" i="10"/>
  <c r="I195" i="10"/>
  <c r="H187" i="10"/>
  <c r="D187" i="10"/>
  <c r="C187" i="10"/>
  <c r="I186" i="10"/>
  <c r="I185" i="10"/>
  <c r="I184" i="10"/>
  <c r="I183" i="10"/>
  <c r="I182" i="10"/>
  <c r="I181" i="10"/>
  <c r="I180" i="10"/>
  <c r="I187" i="10"/>
  <c r="H167" i="10"/>
  <c r="D167" i="10"/>
  <c r="C167" i="10"/>
  <c r="I166" i="10"/>
  <c r="I165" i="10"/>
  <c r="I164" i="10"/>
  <c r="I163" i="10"/>
  <c r="I162" i="10"/>
  <c r="I161" i="10"/>
  <c r="I160" i="10"/>
  <c r="I167" i="10"/>
  <c r="H159" i="10"/>
  <c r="D159" i="10"/>
  <c r="C159" i="10"/>
  <c r="I158" i="10"/>
  <c r="I157" i="10"/>
  <c r="I156" i="10"/>
  <c r="I155" i="10"/>
  <c r="I154" i="10"/>
  <c r="I153" i="10"/>
  <c r="I152" i="10"/>
  <c r="I159" i="10"/>
  <c r="H151" i="10"/>
  <c r="D151" i="10"/>
  <c r="C151" i="10"/>
  <c r="I150" i="10"/>
  <c r="I149" i="10"/>
  <c r="I148" i="10"/>
  <c r="I147" i="10"/>
  <c r="I146" i="10"/>
  <c r="I145" i="10"/>
  <c r="I144" i="10"/>
  <c r="I151" i="10"/>
  <c r="H143" i="10"/>
  <c r="D143" i="10"/>
  <c r="C143" i="10"/>
  <c r="I142" i="10"/>
  <c r="I141" i="10"/>
  <c r="I140" i="10"/>
  <c r="I139" i="10"/>
  <c r="I138" i="10"/>
  <c r="I137" i="10"/>
  <c r="I136" i="10"/>
  <c r="I143" i="10"/>
  <c r="H123" i="10"/>
  <c r="D123" i="10"/>
  <c r="C123" i="10"/>
  <c r="I122" i="10"/>
  <c r="I121" i="10"/>
  <c r="I120" i="10"/>
  <c r="I119" i="10"/>
  <c r="I118" i="10"/>
  <c r="I117" i="10"/>
  <c r="I116" i="10"/>
  <c r="I123" i="10"/>
  <c r="H115" i="10"/>
  <c r="D115" i="10"/>
  <c r="C115" i="10"/>
  <c r="I114" i="10"/>
  <c r="I113" i="10"/>
  <c r="I112" i="10"/>
  <c r="I111" i="10"/>
  <c r="I110" i="10"/>
  <c r="I109" i="10"/>
  <c r="I108" i="10"/>
  <c r="I115" i="10"/>
  <c r="H107" i="10"/>
  <c r="D107" i="10"/>
  <c r="C107" i="10"/>
  <c r="I106" i="10"/>
  <c r="I105" i="10"/>
  <c r="I104" i="10"/>
  <c r="I103" i="10"/>
  <c r="I102" i="10"/>
  <c r="I101" i="10"/>
  <c r="I100" i="10"/>
  <c r="I107" i="10"/>
  <c r="H99" i="10"/>
  <c r="D99" i="10"/>
  <c r="C99" i="10"/>
  <c r="I98" i="10"/>
  <c r="I97" i="10"/>
  <c r="I96" i="10"/>
  <c r="I95" i="10"/>
  <c r="I94" i="10"/>
  <c r="I93" i="10"/>
  <c r="I92" i="10"/>
  <c r="H79" i="10"/>
  <c r="D79" i="10"/>
  <c r="C79" i="10"/>
  <c r="I78" i="10"/>
  <c r="I77" i="10"/>
  <c r="I76" i="10"/>
  <c r="I75" i="10"/>
  <c r="I74" i="10"/>
  <c r="I73" i="10"/>
  <c r="I72" i="10"/>
  <c r="I79" i="10"/>
  <c r="H71" i="10"/>
  <c r="D71" i="10"/>
  <c r="C71" i="10"/>
  <c r="I70" i="10"/>
  <c r="I69" i="10"/>
  <c r="I68" i="10"/>
  <c r="I67" i="10"/>
  <c r="I66" i="10"/>
  <c r="I65" i="10"/>
  <c r="I64" i="10"/>
  <c r="I71" i="10"/>
  <c r="H63" i="10"/>
  <c r="D63" i="10"/>
  <c r="C63" i="10"/>
  <c r="I62" i="10"/>
  <c r="I61" i="10"/>
  <c r="I60" i="10"/>
  <c r="I59" i="10"/>
  <c r="I58" i="10"/>
  <c r="I57" i="10"/>
  <c r="I56" i="10"/>
  <c r="I63" i="10"/>
  <c r="H55" i="10"/>
  <c r="D55" i="10"/>
  <c r="C55" i="10"/>
  <c r="I54" i="10"/>
  <c r="I53" i="10"/>
  <c r="I52" i="10"/>
  <c r="I51" i="10"/>
  <c r="I50" i="10"/>
  <c r="I48" i="10"/>
  <c r="I55" i="10"/>
  <c r="H211" i="8"/>
  <c r="D211" i="8"/>
  <c r="C211" i="8"/>
  <c r="I210" i="8"/>
  <c r="I209" i="8"/>
  <c r="I208" i="8"/>
  <c r="I207" i="8"/>
  <c r="I206" i="8"/>
  <c r="I205" i="8"/>
  <c r="I204" i="8"/>
  <c r="I211" i="8"/>
  <c r="H203" i="8"/>
  <c r="D203" i="8"/>
  <c r="C203" i="8"/>
  <c r="I202" i="8"/>
  <c r="I201" i="8"/>
  <c r="I200" i="8"/>
  <c r="I199" i="8"/>
  <c r="I198" i="8"/>
  <c r="I197" i="8"/>
  <c r="I196" i="8"/>
  <c r="I203" i="8"/>
  <c r="H195" i="8"/>
  <c r="D195" i="8"/>
  <c r="C195" i="8"/>
  <c r="I194" i="8"/>
  <c r="I193" i="8"/>
  <c r="I192" i="8"/>
  <c r="I191" i="8"/>
  <c r="I190" i="8"/>
  <c r="I189" i="8"/>
  <c r="I188" i="8"/>
  <c r="I195" i="8"/>
  <c r="H187" i="8"/>
  <c r="D187" i="8"/>
  <c r="C187" i="8"/>
  <c r="I186" i="8"/>
  <c r="I185" i="8"/>
  <c r="I184" i="8"/>
  <c r="I183" i="8"/>
  <c r="I182" i="8"/>
  <c r="I181" i="8"/>
  <c r="I180" i="8"/>
  <c r="I187" i="8"/>
  <c r="H167" i="8"/>
  <c r="D167" i="8"/>
  <c r="C167" i="8"/>
  <c r="I166" i="8"/>
  <c r="I165" i="8"/>
  <c r="I164" i="8"/>
  <c r="I163" i="8"/>
  <c r="I162" i="8"/>
  <c r="I161" i="8"/>
  <c r="I160" i="8"/>
  <c r="I167" i="8"/>
  <c r="H159" i="8"/>
  <c r="D159" i="8"/>
  <c r="C159" i="8"/>
  <c r="I158" i="8"/>
  <c r="I157" i="8"/>
  <c r="I156" i="8"/>
  <c r="I155" i="8"/>
  <c r="I154" i="8"/>
  <c r="I153" i="8"/>
  <c r="I152" i="8"/>
  <c r="I159" i="8"/>
  <c r="H151" i="8"/>
  <c r="D151" i="8"/>
  <c r="C151" i="8"/>
  <c r="I150" i="8"/>
  <c r="I149" i="8"/>
  <c r="I148" i="8"/>
  <c r="I147" i="8"/>
  <c r="I146" i="8"/>
  <c r="I145" i="8"/>
  <c r="I144" i="8"/>
  <c r="I151" i="8"/>
  <c r="H143" i="8"/>
  <c r="D143" i="8"/>
  <c r="C143" i="8"/>
  <c r="I142" i="8"/>
  <c r="I141" i="8"/>
  <c r="I140" i="8"/>
  <c r="I139" i="8"/>
  <c r="I138" i="8"/>
  <c r="I137" i="8"/>
  <c r="I136" i="8"/>
  <c r="I143" i="8"/>
  <c r="H123" i="8"/>
  <c r="D123" i="8"/>
  <c r="C123" i="8"/>
  <c r="I122" i="8"/>
  <c r="I121" i="8"/>
  <c r="I120" i="8"/>
  <c r="I119" i="8"/>
  <c r="I118" i="8"/>
  <c r="I117" i="8"/>
  <c r="I116" i="8"/>
  <c r="I123" i="8"/>
  <c r="H115" i="8"/>
  <c r="D115" i="8"/>
  <c r="C115" i="8"/>
  <c r="I114" i="8"/>
  <c r="I113" i="8"/>
  <c r="I112" i="8"/>
  <c r="I111" i="8"/>
  <c r="I110" i="8"/>
  <c r="I109" i="8"/>
  <c r="I108" i="8"/>
  <c r="I115" i="8"/>
  <c r="H107" i="8"/>
  <c r="D107" i="8"/>
  <c r="C107" i="8"/>
  <c r="I106" i="8"/>
  <c r="I105" i="8"/>
  <c r="I104" i="8"/>
  <c r="I103" i="8"/>
  <c r="I102" i="8"/>
  <c r="I101" i="8"/>
  <c r="I100" i="8"/>
  <c r="I107" i="8"/>
  <c r="H99" i="8"/>
  <c r="H124" i="8" s="1"/>
  <c r="D99" i="8"/>
  <c r="C99" i="8"/>
  <c r="I98" i="8"/>
  <c r="I97" i="8"/>
  <c r="I96" i="8"/>
  <c r="I95" i="8"/>
  <c r="I94" i="8"/>
  <c r="I93" i="8"/>
  <c r="I92" i="8"/>
  <c r="H79" i="8"/>
  <c r="D79" i="8"/>
  <c r="C79" i="8"/>
  <c r="I78" i="8"/>
  <c r="I77" i="8"/>
  <c r="I76" i="8"/>
  <c r="I75" i="8"/>
  <c r="I74" i="8"/>
  <c r="I73" i="8"/>
  <c r="I72" i="8"/>
  <c r="I79" i="8"/>
  <c r="H71" i="8"/>
  <c r="D71" i="8"/>
  <c r="C71" i="8"/>
  <c r="I70" i="8"/>
  <c r="I69" i="8"/>
  <c r="I68" i="8"/>
  <c r="I67" i="8"/>
  <c r="I66" i="8"/>
  <c r="I65" i="8"/>
  <c r="I64" i="8"/>
  <c r="I71" i="8"/>
  <c r="H63" i="8"/>
  <c r="D63" i="8"/>
  <c r="C63" i="8"/>
  <c r="I62" i="8"/>
  <c r="I61" i="8"/>
  <c r="I60" i="8"/>
  <c r="I59" i="8"/>
  <c r="I58" i="8"/>
  <c r="I57" i="8"/>
  <c r="I63" i="8"/>
  <c r="H55" i="8"/>
  <c r="D55" i="8"/>
  <c r="C55" i="8"/>
  <c r="I54" i="8"/>
  <c r="I55" i="8" s="1"/>
  <c r="I80" i="8" s="1"/>
  <c r="I53" i="8"/>
  <c r="I52" i="8"/>
  <c r="I51" i="8"/>
  <c r="I50" i="8"/>
  <c r="I49" i="8"/>
  <c r="I48" i="8"/>
  <c r="H211" i="9"/>
  <c r="D211" i="9"/>
  <c r="C211" i="9"/>
  <c r="I210" i="9"/>
  <c r="I209" i="9"/>
  <c r="I208" i="9"/>
  <c r="I207" i="9"/>
  <c r="I206" i="9"/>
  <c r="I205" i="9"/>
  <c r="I204" i="9"/>
  <c r="I211" i="9"/>
  <c r="H203" i="9"/>
  <c r="D203" i="9"/>
  <c r="C203" i="9"/>
  <c r="I202" i="9"/>
  <c r="I201" i="9"/>
  <c r="I200" i="9"/>
  <c r="I199" i="9"/>
  <c r="I198" i="9"/>
  <c r="I197" i="9"/>
  <c r="I196" i="9"/>
  <c r="I203" i="9"/>
  <c r="H195" i="9"/>
  <c r="D195" i="9"/>
  <c r="C195" i="9"/>
  <c r="I194" i="9"/>
  <c r="I193" i="9"/>
  <c r="I192" i="9"/>
  <c r="I191" i="9"/>
  <c r="I190" i="9"/>
  <c r="I189" i="9"/>
  <c r="I188" i="9"/>
  <c r="I195" i="9"/>
  <c r="H187" i="9"/>
  <c r="D187" i="9"/>
  <c r="C187" i="9"/>
  <c r="I186" i="9"/>
  <c r="I185" i="9"/>
  <c r="I184" i="9"/>
  <c r="I183" i="9"/>
  <c r="I182" i="9"/>
  <c r="I181" i="9"/>
  <c r="I180" i="9"/>
  <c r="I187" i="9"/>
  <c r="H167" i="9"/>
  <c r="D167" i="9"/>
  <c r="C167" i="9"/>
  <c r="I166" i="9"/>
  <c r="I165" i="9"/>
  <c r="I164" i="9"/>
  <c r="I163" i="9"/>
  <c r="I162" i="9"/>
  <c r="I161" i="9"/>
  <c r="I160" i="9"/>
  <c r="I167" i="9"/>
  <c r="H159" i="9"/>
  <c r="D159" i="9"/>
  <c r="C159" i="9"/>
  <c r="I158" i="9"/>
  <c r="I157" i="9"/>
  <c r="I156" i="9"/>
  <c r="I155" i="9"/>
  <c r="I154" i="9"/>
  <c r="I153" i="9"/>
  <c r="I152" i="9"/>
  <c r="I159" i="9"/>
  <c r="H151" i="9"/>
  <c r="D151" i="9"/>
  <c r="C151" i="9"/>
  <c r="I150" i="9"/>
  <c r="I149" i="9"/>
  <c r="I148" i="9"/>
  <c r="I147" i="9"/>
  <c r="I146" i="9"/>
  <c r="I145" i="9"/>
  <c r="I144" i="9"/>
  <c r="I151" i="9"/>
  <c r="H143" i="9"/>
  <c r="D143" i="9"/>
  <c r="C143" i="9"/>
  <c r="I142" i="9"/>
  <c r="I141" i="9"/>
  <c r="I140" i="9"/>
  <c r="I139" i="9"/>
  <c r="I138" i="9"/>
  <c r="I137" i="9"/>
  <c r="I136" i="9"/>
  <c r="I143" i="9"/>
  <c r="H123" i="9"/>
  <c r="D123" i="9"/>
  <c r="C123" i="9"/>
  <c r="I122" i="9"/>
  <c r="I121" i="9"/>
  <c r="I120" i="9"/>
  <c r="I119" i="9"/>
  <c r="I118" i="9"/>
  <c r="I117" i="9"/>
  <c r="I116" i="9"/>
  <c r="I123" i="9"/>
  <c r="H115" i="9"/>
  <c r="D115" i="9"/>
  <c r="C115" i="9"/>
  <c r="I114" i="9"/>
  <c r="I113" i="9"/>
  <c r="I112" i="9"/>
  <c r="I111" i="9"/>
  <c r="I110" i="9"/>
  <c r="I109" i="9"/>
  <c r="I108" i="9"/>
  <c r="I115" i="9"/>
  <c r="H107" i="9"/>
  <c r="D107" i="9"/>
  <c r="C107" i="9"/>
  <c r="I106" i="9"/>
  <c r="I105" i="9"/>
  <c r="I104" i="9"/>
  <c r="I103" i="9"/>
  <c r="I102" i="9"/>
  <c r="I101" i="9"/>
  <c r="I100" i="9"/>
  <c r="I107" i="9"/>
  <c r="H99" i="9"/>
  <c r="H124" i="9" s="1"/>
  <c r="D99" i="9"/>
  <c r="C99" i="9"/>
  <c r="I98" i="9"/>
  <c r="I97" i="9"/>
  <c r="I96" i="9"/>
  <c r="I95" i="9"/>
  <c r="I94" i="9"/>
  <c r="I93" i="9"/>
  <c r="I99" i="9" s="1"/>
  <c r="I124" i="9" s="1"/>
  <c r="I125" i="9" s="1"/>
  <c r="I92" i="9"/>
  <c r="H79" i="9"/>
  <c r="D79" i="9"/>
  <c r="C79" i="9"/>
  <c r="I78" i="9"/>
  <c r="I77" i="9"/>
  <c r="I76" i="9"/>
  <c r="I75" i="9"/>
  <c r="I74" i="9"/>
  <c r="I73" i="9"/>
  <c r="I72" i="9"/>
  <c r="I79" i="9"/>
  <c r="H71" i="9"/>
  <c r="D71" i="9"/>
  <c r="C71" i="9"/>
  <c r="I70" i="9"/>
  <c r="I69" i="9"/>
  <c r="I68" i="9"/>
  <c r="I67" i="9"/>
  <c r="I66" i="9"/>
  <c r="I65" i="9"/>
  <c r="I64" i="9"/>
  <c r="I71" i="9"/>
  <c r="H63" i="9"/>
  <c r="H80" i="9" s="1"/>
  <c r="D63" i="9"/>
  <c r="C63" i="9"/>
  <c r="I62" i="9"/>
  <c r="I61" i="9"/>
  <c r="I60" i="9"/>
  <c r="I59" i="9"/>
  <c r="I58" i="9"/>
  <c r="I57" i="9"/>
  <c r="I56" i="9"/>
  <c r="I63" i="9"/>
  <c r="I80" i="9" s="1"/>
  <c r="H55" i="9"/>
  <c r="D55" i="9"/>
  <c r="C55" i="9"/>
  <c r="I54" i="9"/>
  <c r="I53" i="9"/>
  <c r="I51" i="9"/>
  <c r="I50" i="9"/>
  <c r="I49" i="9"/>
  <c r="I48" i="9"/>
  <c r="I55" i="9"/>
  <c r="H211" i="7"/>
  <c r="D211" i="7"/>
  <c r="C211" i="7"/>
  <c r="I210" i="7"/>
  <c r="I209" i="7"/>
  <c r="I208" i="7"/>
  <c r="I207" i="7"/>
  <c r="I206" i="7"/>
  <c r="I205" i="7"/>
  <c r="I204" i="7"/>
  <c r="I211" i="7"/>
  <c r="H203" i="7"/>
  <c r="D203" i="7"/>
  <c r="C203" i="7"/>
  <c r="I202" i="7"/>
  <c r="I201" i="7"/>
  <c r="I200" i="7"/>
  <c r="I199" i="7"/>
  <c r="I198" i="7"/>
  <c r="I197" i="7"/>
  <c r="I196" i="7"/>
  <c r="I203" i="7"/>
  <c r="H195" i="7"/>
  <c r="D195" i="7"/>
  <c r="C195" i="7"/>
  <c r="I194" i="7"/>
  <c r="I193" i="7"/>
  <c r="I192" i="7"/>
  <c r="I191" i="7"/>
  <c r="I190" i="7"/>
  <c r="I189" i="7"/>
  <c r="I188" i="7"/>
  <c r="I195" i="7"/>
  <c r="H187" i="7"/>
  <c r="D187" i="7"/>
  <c r="C187" i="7"/>
  <c r="I186" i="7"/>
  <c r="I185" i="7"/>
  <c r="I184" i="7"/>
  <c r="I183" i="7"/>
  <c r="I182" i="7"/>
  <c r="I181" i="7"/>
  <c r="I180" i="7"/>
  <c r="I187" i="7"/>
  <c r="H167" i="7"/>
  <c r="D167" i="7"/>
  <c r="C167" i="7"/>
  <c r="I166" i="7"/>
  <c r="I165" i="7"/>
  <c r="I164" i="7"/>
  <c r="I163" i="7"/>
  <c r="I162" i="7"/>
  <c r="I161" i="7"/>
  <c r="I160" i="7"/>
  <c r="I167" i="7"/>
  <c r="H159" i="7"/>
  <c r="D159" i="7"/>
  <c r="C159" i="7"/>
  <c r="I158" i="7"/>
  <c r="I157" i="7"/>
  <c r="I156" i="7"/>
  <c r="I155" i="7"/>
  <c r="I154" i="7"/>
  <c r="I153" i="7"/>
  <c r="I152" i="7"/>
  <c r="I159" i="7"/>
  <c r="H151" i="7"/>
  <c r="D151" i="7"/>
  <c r="C151" i="7"/>
  <c r="I150" i="7"/>
  <c r="I149" i="7"/>
  <c r="I148" i="7"/>
  <c r="I147" i="7"/>
  <c r="I146" i="7"/>
  <c r="I145" i="7"/>
  <c r="I144" i="7"/>
  <c r="I151" i="7"/>
  <c r="H143" i="7"/>
  <c r="D143" i="7"/>
  <c r="C143" i="7"/>
  <c r="I142" i="7"/>
  <c r="I141" i="7"/>
  <c r="I140" i="7"/>
  <c r="I139" i="7"/>
  <c r="I138" i="7"/>
  <c r="I137" i="7"/>
  <c r="I136" i="7"/>
  <c r="I143" i="7"/>
  <c r="H123" i="7"/>
  <c r="D123" i="7"/>
  <c r="C123" i="7"/>
  <c r="I122" i="7"/>
  <c r="I121" i="7"/>
  <c r="I120" i="7"/>
  <c r="I119" i="7"/>
  <c r="I118" i="7"/>
  <c r="I117" i="7"/>
  <c r="I116" i="7"/>
  <c r="I123" i="7"/>
  <c r="H115" i="7"/>
  <c r="D115" i="7"/>
  <c r="C115" i="7"/>
  <c r="I114" i="7"/>
  <c r="I113" i="7"/>
  <c r="I112" i="7"/>
  <c r="I111" i="7"/>
  <c r="I110" i="7"/>
  <c r="I109" i="7"/>
  <c r="I108" i="7"/>
  <c r="I115" i="7"/>
  <c r="H107" i="7"/>
  <c r="D107" i="7"/>
  <c r="C107" i="7"/>
  <c r="I106" i="7"/>
  <c r="I105" i="7"/>
  <c r="I104" i="7"/>
  <c r="I103" i="7"/>
  <c r="I102" i="7"/>
  <c r="I101" i="7"/>
  <c r="I107" i="7"/>
  <c r="H99" i="7"/>
  <c r="D99" i="7"/>
  <c r="C99" i="7"/>
  <c r="I98" i="7"/>
  <c r="I97" i="7"/>
  <c r="I96" i="7"/>
  <c r="I95" i="7"/>
  <c r="I94" i="7"/>
  <c r="I93" i="7"/>
  <c r="I99" i="7" s="1"/>
  <c r="I124" i="7" s="1"/>
  <c r="I125" i="7" s="1"/>
  <c r="I92" i="7"/>
  <c r="H79" i="7"/>
  <c r="D79" i="7"/>
  <c r="C79" i="7"/>
  <c r="I78" i="7"/>
  <c r="I77" i="7"/>
  <c r="I76" i="7"/>
  <c r="I75" i="7"/>
  <c r="I74" i="7"/>
  <c r="I73" i="7"/>
  <c r="I72" i="7"/>
  <c r="I79" i="7"/>
  <c r="H71" i="7"/>
  <c r="D71" i="7"/>
  <c r="C71" i="7"/>
  <c r="I70" i="7"/>
  <c r="I69" i="7"/>
  <c r="I68" i="7"/>
  <c r="I67" i="7"/>
  <c r="I66" i="7"/>
  <c r="I71" i="7" s="1"/>
  <c r="I65" i="7"/>
  <c r="I64" i="7"/>
  <c r="H63" i="7"/>
  <c r="D63" i="7"/>
  <c r="C63" i="7"/>
  <c r="I62" i="7"/>
  <c r="I61" i="7"/>
  <c r="I60" i="7"/>
  <c r="I59" i="7"/>
  <c r="I58" i="7"/>
  <c r="I57" i="7"/>
  <c r="I56" i="7"/>
  <c r="I63" i="7"/>
  <c r="H55" i="7"/>
  <c r="D55" i="7"/>
  <c r="C55" i="7"/>
  <c r="I54" i="7"/>
  <c r="I53" i="7"/>
  <c r="I52" i="7"/>
  <c r="I51" i="7"/>
  <c r="I50" i="7"/>
  <c r="I49" i="7"/>
  <c r="I48" i="7"/>
  <c r="I55" i="7"/>
  <c r="H211" i="6"/>
  <c r="D211" i="6"/>
  <c r="C211" i="6"/>
  <c r="I210" i="6"/>
  <c r="I209" i="6"/>
  <c r="I208" i="6"/>
  <c r="I207" i="6"/>
  <c r="I206" i="6"/>
  <c r="I205" i="6"/>
  <c r="I204" i="6"/>
  <c r="I211" i="6"/>
  <c r="H203" i="6"/>
  <c r="D203" i="6"/>
  <c r="C203" i="6"/>
  <c r="I202" i="6"/>
  <c r="I201" i="6"/>
  <c r="I200" i="6"/>
  <c r="I199" i="6"/>
  <c r="I198" i="6"/>
  <c r="I197" i="6"/>
  <c r="I196" i="6"/>
  <c r="I203" i="6"/>
  <c r="H195" i="6"/>
  <c r="D195" i="6"/>
  <c r="C195" i="6"/>
  <c r="I194" i="6"/>
  <c r="I193" i="6"/>
  <c r="I192" i="6"/>
  <c r="I191" i="6"/>
  <c r="I190" i="6"/>
  <c r="I189" i="6"/>
  <c r="I188" i="6"/>
  <c r="I195" i="6"/>
  <c r="H187" i="6"/>
  <c r="D187" i="6"/>
  <c r="C187" i="6"/>
  <c r="I186" i="6"/>
  <c r="I185" i="6"/>
  <c r="I184" i="6"/>
  <c r="I183" i="6"/>
  <c r="I182" i="6"/>
  <c r="I181" i="6"/>
  <c r="I180" i="6"/>
  <c r="I187" i="6"/>
  <c r="H167" i="6"/>
  <c r="D167" i="6"/>
  <c r="C167" i="6"/>
  <c r="I166" i="6"/>
  <c r="I165" i="6"/>
  <c r="I164" i="6"/>
  <c r="I163" i="6"/>
  <c r="I162" i="6"/>
  <c r="I161" i="6"/>
  <c r="I160" i="6"/>
  <c r="I167" i="6"/>
  <c r="H159" i="6"/>
  <c r="D159" i="6"/>
  <c r="C159" i="6"/>
  <c r="I158" i="6"/>
  <c r="I157" i="6"/>
  <c r="I156" i="6"/>
  <c r="I155" i="6"/>
  <c r="I154" i="6"/>
  <c r="I153" i="6"/>
  <c r="I152" i="6"/>
  <c r="I159" i="6"/>
  <c r="H151" i="6"/>
  <c r="D151" i="6"/>
  <c r="C151" i="6"/>
  <c r="I150" i="6"/>
  <c r="I149" i="6"/>
  <c r="I148" i="6"/>
  <c r="I147" i="6"/>
  <c r="I146" i="6"/>
  <c r="I145" i="6"/>
  <c r="I144" i="6"/>
  <c r="I151" i="6"/>
  <c r="H143" i="6"/>
  <c r="D143" i="6"/>
  <c r="C143" i="6"/>
  <c r="I142" i="6"/>
  <c r="I141" i="6"/>
  <c r="I140" i="6"/>
  <c r="I139" i="6"/>
  <c r="I138" i="6"/>
  <c r="I137" i="6"/>
  <c r="I136" i="6"/>
  <c r="I143" i="6"/>
  <c r="H123" i="6"/>
  <c r="D123" i="6"/>
  <c r="C123" i="6"/>
  <c r="I122" i="6"/>
  <c r="I121" i="6"/>
  <c r="I120" i="6"/>
  <c r="I119" i="6"/>
  <c r="I118" i="6"/>
  <c r="I117" i="6"/>
  <c r="I116" i="6"/>
  <c r="I123" i="6"/>
  <c r="H115" i="6"/>
  <c r="D115" i="6"/>
  <c r="C115" i="6"/>
  <c r="I114" i="6"/>
  <c r="I113" i="6"/>
  <c r="I112" i="6"/>
  <c r="I111" i="6"/>
  <c r="I110" i="6"/>
  <c r="I109" i="6"/>
  <c r="I108" i="6"/>
  <c r="I115" i="6"/>
  <c r="H107" i="6"/>
  <c r="D107" i="6"/>
  <c r="C107" i="6"/>
  <c r="I106" i="6"/>
  <c r="I105" i="6"/>
  <c r="I104" i="6"/>
  <c r="I103" i="6"/>
  <c r="I102" i="6"/>
  <c r="I101" i="6"/>
  <c r="I100" i="6"/>
  <c r="I107" i="6"/>
  <c r="H99" i="6"/>
  <c r="D99" i="6"/>
  <c r="C99" i="6"/>
  <c r="I98" i="6"/>
  <c r="I97" i="6"/>
  <c r="I96" i="6"/>
  <c r="I95" i="6"/>
  <c r="I94" i="6"/>
  <c r="I93" i="6"/>
  <c r="I92" i="6"/>
  <c r="H79" i="6"/>
  <c r="D79" i="6"/>
  <c r="C79" i="6"/>
  <c r="I78" i="6"/>
  <c r="I77" i="6"/>
  <c r="I76" i="6"/>
  <c r="I75" i="6"/>
  <c r="I74" i="6"/>
  <c r="I73" i="6"/>
  <c r="I72" i="6"/>
  <c r="I79" i="6"/>
  <c r="H71" i="6"/>
  <c r="D71" i="6"/>
  <c r="C71" i="6"/>
  <c r="C80" i="6" s="1"/>
  <c r="I70" i="6"/>
  <c r="I69" i="6"/>
  <c r="I68" i="6"/>
  <c r="I67" i="6"/>
  <c r="I71" i="6" s="1"/>
  <c r="I80" i="6" s="1"/>
  <c r="I66" i="6"/>
  <c r="I65" i="6"/>
  <c r="I64" i="6"/>
  <c r="H63" i="6"/>
  <c r="D63" i="6"/>
  <c r="C63" i="6"/>
  <c r="I62" i="6"/>
  <c r="I61" i="6"/>
  <c r="I60" i="6"/>
  <c r="I59" i="6"/>
  <c r="I58" i="6"/>
  <c r="I57" i="6"/>
  <c r="I56" i="6"/>
  <c r="I63" i="6"/>
  <c r="H55" i="6"/>
  <c r="D55" i="6"/>
  <c r="C55" i="6"/>
  <c r="I54" i="6"/>
  <c r="I53" i="6"/>
  <c r="I52" i="6"/>
  <c r="I51" i="6"/>
  <c r="I50" i="6"/>
  <c r="I48" i="6"/>
  <c r="I55" i="6"/>
  <c r="H211" i="5"/>
  <c r="D211" i="5"/>
  <c r="C211" i="5"/>
  <c r="I210" i="5"/>
  <c r="I209" i="5"/>
  <c r="I208" i="5"/>
  <c r="I207" i="5"/>
  <c r="I206" i="5"/>
  <c r="I205" i="5"/>
  <c r="I204" i="5"/>
  <c r="I211" i="5"/>
  <c r="H203" i="5"/>
  <c r="D203" i="5"/>
  <c r="C203" i="5"/>
  <c r="I202" i="5"/>
  <c r="I201" i="5"/>
  <c r="I200" i="5"/>
  <c r="I199" i="5"/>
  <c r="I198" i="5"/>
  <c r="I197" i="5"/>
  <c r="I196" i="5"/>
  <c r="I203" i="5"/>
  <c r="H195" i="5"/>
  <c r="D195" i="5"/>
  <c r="C195" i="5"/>
  <c r="I194" i="5"/>
  <c r="I193" i="5"/>
  <c r="I192" i="5"/>
  <c r="I191" i="5"/>
  <c r="I190" i="5"/>
  <c r="I189" i="5"/>
  <c r="I188" i="5"/>
  <c r="I195" i="5"/>
  <c r="H187" i="5"/>
  <c r="D187" i="5"/>
  <c r="C187" i="5"/>
  <c r="I186" i="5"/>
  <c r="I185" i="5"/>
  <c r="I184" i="5"/>
  <c r="I183" i="5"/>
  <c r="I182" i="5"/>
  <c r="I181" i="5"/>
  <c r="I180" i="5"/>
  <c r="I187" i="5"/>
  <c r="H167" i="5"/>
  <c r="D167" i="5"/>
  <c r="C167" i="5"/>
  <c r="I166" i="5"/>
  <c r="I165" i="5"/>
  <c r="I164" i="5"/>
  <c r="I163" i="5"/>
  <c r="I162" i="5"/>
  <c r="I161" i="5"/>
  <c r="I160" i="5"/>
  <c r="I167" i="5"/>
  <c r="H159" i="5"/>
  <c r="D159" i="5"/>
  <c r="C159" i="5"/>
  <c r="I158" i="5"/>
  <c r="I157" i="5"/>
  <c r="I156" i="5"/>
  <c r="I155" i="5"/>
  <c r="I154" i="5"/>
  <c r="I153" i="5"/>
  <c r="I152" i="5"/>
  <c r="I159" i="5"/>
  <c r="H151" i="5"/>
  <c r="D151" i="5"/>
  <c r="C151" i="5"/>
  <c r="I150" i="5"/>
  <c r="I149" i="5"/>
  <c r="I148" i="5"/>
  <c r="I147" i="5"/>
  <c r="I146" i="5"/>
  <c r="I145" i="5"/>
  <c r="I144" i="5"/>
  <c r="I151" i="5"/>
  <c r="H143" i="5"/>
  <c r="D143" i="5"/>
  <c r="C143" i="5"/>
  <c r="I142" i="5"/>
  <c r="I141" i="5"/>
  <c r="I140" i="5"/>
  <c r="I139" i="5"/>
  <c r="I138" i="5"/>
  <c r="I137" i="5"/>
  <c r="I136" i="5"/>
  <c r="I143" i="5"/>
  <c r="H123" i="5"/>
  <c r="D123" i="5"/>
  <c r="C123" i="5"/>
  <c r="I122" i="5"/>
  <c r="I121" i="5"/>
  <c r="I120" i="5"/>
  <c r="I119" i="5"/>
  <c r="I118" i="5"/>
  <c r="I117" i="5"/>
  <c r="I116" i="5"/>
  <c r="I123" i="5"/>
  <c r="H115" i="5"/>
  <c r="D115" i="5"/>
  <c r="C115" i="5"/>
  <c r="I114" i="5"/>
  <c r="I113" i="5"/>
  <c r="I112" i="5"/>
  <c r="I111" i="5"/>
  <c r="I110" i="5"/>
  <c r="I109" i="5"/>
  <c r="I108" i="5"/>
  <c r="I115" i="5"/>
  <c r="H107" i="5"/>
  <c r="H124" i="5" s="1"/>
  <c r="D107" i="5"/>
  <c r="C107" i="5"/>
  <c r="I106" i="5"/>
  <c r="I105" i="5"/>
  <c r="I104" i="5"/>
  <c r="I103" i="5"/>
  <c r="I102" i="5"/>
  <c r="I101" i="5"/>
  <c r="I100" i="5"/>
  <c r="I107" i="5"/>
  <c r="I124" i="5" s="1"/>
  <c r="I125" i="5" s="1"/>
  <c r="H99" i="5"/>
  <c r="I98" i="5"/>
  <c r="I97" i="5"/>
  <c r="I96" i="5"/>
  <c r="I95" i="5"/>
  <c r="I94" i="5"/>
  <c r="I93" i="5"/>
  <c r="I99" i="5" s="1"/>
  <c r="I92" i="5"/>
  <c r="H79" i="5"/>
  <c r="D79" i="5"/>
  <c r="C79" i="5"/>
  <c r="I78" i="5"/>
  <c r="I77" i="5"/>
  <c r="I76" i="5"/>
  <c r="I75" i="5"/>
  <c r="I74" i="5"/>
  <c r="I73" i="5"/>
  <c r="I72" i="5"/>
  <c r="I79" i="5"/>
  <c r="H71" i="5"/>
  <c r="D71" i="5"/>
  <c r="C71" i="5"/>
  <c r="I70" i="5"/>
  <c r="I69" i="5"/>
  <c r="I68" i="5"/>
  <c r="I67" i="5"/>
  <c r="I66" i="5"/>
  <c r="I65" i="5"/>
  <c r="I64" i="5"/>
  <c r="I71" i="5"/>
  <c r="H63" i="5"/>
  <c r="D63" i="5"/>
  <c r="C63" i="5"/>
  <c r="I62" i="5"/>
  <c r="I61" i="5"/>
  <c r="I60" i="5"/>
  <c r="I59" i="5"/>
  <c r="I57" i="5"/>
  <c r="I56" i="5"/>
  <c r="I63" i="5"/>
  <c r="H55" i="5"/>
  <c r="D55" i="5"/>
  <c r="C55" i="5"/>
  <c r="I54" i="5"/>
  <c r="I53" i="5"/>
  <c r="I52" i="5"/>
  <c r="I51" i="5"/>
  <c r="I50" i="5"/>
  <c r="I49" i="5"/>
  <c r="I48" i="5"/>
  <c r="I55" i="5"/>
  <c r="H211" i="4"/>
  <c r="D211" i="4"/>
  <c r="C211" i="4"/>
  <c r="I210" i="4"/>
  <c r="I209" i="4"/>
  <c r="I208" i="4"/>
  <c r="I207" i="4"/>
  <c r="I206" i="4"/>
  <c r="I205" i="4"/>
  <c r="I204" i="4"/>
  <c r="I211" i="4"/>
  <c r="H203" i="4"/>
  <c r="D203" i="4"/>
  <c r="C203" i="4"/>
  <c r="I202" i="4"/>
  <c r="I201" i="4"/>
  <c r="I200" i="4"/>
  <c r="I199" i="4"/>
  <c r="I198" i="4"/>
  <c r="I197" i="4"/>
  <c r="I196" i="4"/>
  <c r="I203" i="4"/>
  <c r="H195" i="4"/>
  <c r="D195" i="4"/>
  <c r="C195" i="4"/>
  <c r="I194" i="4"/>
  <c r="I193" i="4"/>
  <c r="I192" i="4"/>
  <c r="I191" i="4"/>
  <c r="I190" i="4"/>
  <c r="I189" i="4"/>
  <c r="I188" i="4"/>
  <c r="I195" i="4"/>
  <c r="H187" i="4"/>
  <c r="D187" i="4"/>
  <c r="C187" i="4"/>
  <c r="I186" i="4"/>
  <c r="I185" i="4"/>
  <c r="I184" i="4"/>
  <c r="I183" i="4"/>
  <c r="I182" i="4"/>
  <c r="I181" i="4"/>
  <c r="I180" i="4"/>
  <c r="I187" i="4"/>
  <c r="H167" i="4"/>
  <c r="D167" i="4"/>
  <c r="C167" i="4"/>
  <c r="I166" i="4"/>
  <c r="I165" i="4"/>
  <c r="I164" i="4"/>
  <c r="I163" i="4"/>
  <c r="I162" i="4"/>
  <c r="I161" i="4"/>
  <c r="I160" i="4"/>
  <c r="I167" i="4"/>
  <c r="H159" i="4"/>
  <c r="D159" i="4"/>
  <c r="C159" i="4"/>
  <c r="I158" i="4"/>
  <c r="I157" i="4"/>
  <c r="I156" i="4"/>
  <c r="I155" i="4"/>
  <c r="I154" i="4"/>
  <c r="I153" i="4"/>
  <c r="I152" i="4"/>
  <c r="I159" i="4"/>
  <c r="H151" i="4"/>
  <c r="D151" i="4"/>
  <c r="C151" i="4"/>
  <c r="I150" i="4"/>
  <c r="I149" i="4"/>
  <c r="I148" i="4"/>
  <c r="I147" i="4"/>
  <c r="I146" i="4"/>
  <c r="I145" i="4"/>
  <c r="I144" i="4"/>
  <c r="I151" i="4"/>
  <c r="H143" i="4"/>
  <c r="D143" i="4"/>
  <c r="C143" i="4"/>
  <c r="I142" i="4"/>
  <c r="I141" i="4"/>
  <c r="I140" i="4"/>
  <c r="I139" i="4"/>
  <c r="I138" i="4"/>
  <c r="I137" i="4"/>
  <c r="I136" i="4"/>
  <c r="I143" i="4"/>
  <c r="H123" i="4"/>
  <c r="D123" i="4"/>
  <c r="C123" i="4"/>
  <c r="I122" i="4"/>
  <c r="I121" i="4"/>
  <c r="I120" i="4"/>
  <c r="I119" i="4"/>
  <c r="I118" i="4"/>
  <c r="I117" i="4"/>
  <c r="I116" i="4"/>
  <c r="I123" i="4"/>
  <c r="H115" i="4"/>
  <c r="D115" i="4"/>
  <c r="C115" i="4"/>
  <c r="I114" i="4"/>
  <c r="I113" i="4"/>
  <c r="I112" i="4"/>
  <c r="I111" i="4"/>
  <c r="I110" i="4"/>
  <c r="I109" i="4"/>
  <c r="I108" i="4"/>
  <c r="I115" i="4"/>
  <c r="H107" i="4"/>
  <c r="D107" i="4"/>
  <c r="C107" i="4"/>
  <c r="I106" i="4"/>
  <c r="I105" i="4"/>
  <c r="I104" i="4"/>
  <c r="I103" i="4"/>
  <c r="I102" i="4"/>
  <c r="I101" i="4"/>
  <c r="I100" i="4"/>
  <c r="I107" i="4"/>
  <c r="H99" i="4"/>
  <c r="D99" i="4"/>
  <c r="C99" i="4"/>
  <c r="I98" i="4"/>
  <c r="I97" i="4"/>
  <c r="I96" i="4"/>
  <c r="I95" i="4"/>
  <c r="I94" i="4"/>
  <c r="I93" i="4"/>
  <c r="I92" i="4"/>
  <c r="H79" i="4"/>
  <c r="D79" i="4"/>
  <c r="C79" i="4"/>
  <c r="I78" i="4"/>
  <c r="I77" i="4"/>
  <c r="I76" i="4"/>
  <c r="I75" i="4"/>
  <c r="I74" i="4"/>
  <c r="I73" i="4"/>
  <c r="I72" i="4"/>
  <c r="I79" i="4"/>
  <c r="H71" i="4"/>
  <c r="D71" i="4"/>
  <c r="C71" i="4"/>
  <c r="I70" i="4"/>
  <c r="I69" i="4"/>
  <c r="I68" i="4"/>
  <c r="I67" i="4"/>
  <c r="I66" i="4"/>
  <c r="I65" i="4"/>
  <c r="I64" i="4"/>
  <c r="I71" i="4"/>
  <c r="H63" i="4"/>
  <c r="D63" i="4"/>
  <c r="C63" i="4"/>
  <c r="I62" i="4"/>
  <c r="I61" i="4"/>
  <c r="I60" i="4"/>
  <c r="I58" i="4"/>
  <c r="I57" i="4"/>
  <c r="I56" i="4"/>
  <c r="I63" i="4"/>
  <c r="H55" i="4"/>
  <c r="D55" i="4"/>
  <c r="C55" i="4"/>
  <c r="I54" i="4"/>
  <c r="I53" i="4"/>
  <c r="I52" i="4"/>
  <c r="I51" i="4"/>
  <c r="I50" i="4"/>
  <c r="I48" i="4"/>
  <c r="I55" i="4"/>
  <c r="H211" i="3"/>
  <c r="D211" i="3"/>
  <c r="C211" i="3"/>
  <c r="I210" i="3"/>
  <c r="I209" i="3"/>
  <c r="I208" i="3"/>
  <c r="I207" i="3"/>
  <c r="I206" i="3"/>
  <c r="I205" i="3"/>
  <c r="I204" i="3"/>
  <c r="I211" i="3"/>
  <c r="H203" i="3"/>
  <c r="D203" i="3"/>
  <c r="C203" i="3"/>
  <c r="I202" i="3"/>
  <c r="I201" i="3"/>
  <c r="I200" i="3"/>
  <c r="I199" i="3"/>
  <c r="I198" i="3"/>
  <c r="I197" i="3"/>
  <c r="I196" i="3"/>
  <c r="I203" i="3"/>
  <c r="H195" i="3"/>
  <c r="D195" i="3"/>
  <c r="C195" i="3"/>
  <c r="I194" i="3"/>
  <c r="I193" i="3"/>
  <c r="I192" i="3"/>
  <c r="I191" i="3"/>
  <c r="I190" i="3"/>
  <c r="I189" i="3"/>
  <c r="I188" i="3"/>
  <c r="I195" i="3"/>
  <c r="H187" i="3"/>
  <c r="D187" i="3"/>
  <c r="C187" i="3"/>
  <c r="I186" i="3"/>
  <c r="I185" i="3"/>
  <c r="I184" i="3"/>
  <c r="I183" i="3"/>
  <c r="I182" i="3"/>
  <c r="I181" i="3"/>
  <c r="I180" i="3"/>
  <c r="I187" i="3"/>
  <c r="H167" i="3"/>
  <c r="D167" i="3"/>
  <c r="C167" i="3"/>
  <c r="I166" i="3"/>
  <c r="I165" i="3"/>
  <c r="I164" i="3"/>
  <c r="I163" i="3"/>
  <c r="I162" i="3"/>
  <c r="I161" i="3"/>
  <c r="I160" i="3"/>
  <c r="I167" i="3"/>
  <c r="H159" i="3"/>
  <c r="D159" i="3"/>
  <c r="C159" i="3"/>
  <c r="I158" i="3"/>
  <c r="I157" i="3"/>
  <c r="I156" i="3"/>
  <c r="I155" i="3"/>
  <c r="I154" i="3"/>
  <c r="I153" i="3"/>
  <c r="I152" i="3"/>
  <c r="I159" i="3"/>
  <c r="H151" i="3"/>
  <c r="D151" i="3"/>
  <c r="C151" i="3"/>
  <c r="I150" i="3"/>
  <c r="I149" i="3"/>
  <c r="I148" i="3"/>
  <c r="I147" i="3"/>
  <c r="I146" i="3"/>
  <c r="I145" i="3"/>
  <c r="I144" i="3"/>
  <c r="I151" i="3"/>
  <c r="H143" i="3"/>
  <c r="D143" i="3"/>
  <c r="C143" i="3"/>
  <c r="I142" i="3"/>
  <c r="I141" i="3"/>
  <c r="I140" i="3"/>
  <c r="I139" i="3"/>
  <c r="I138" i="3"/>
  <c r="I137" i="3"/>
  <c r="I136" i="3"/>
  <c r="I143" i="3"/>
  <c r="H123" i="3"/>
  <c r="D123" i="3"/>
  <c r="C123" i="3"/>
  <c r="I122" i="3"/>
  <c r="I121" i="3"/>
  <c r="I120" i="3"/>
  <c r="I119" i="3"/>
  <c r="I118" i="3"/>
  <c r="I117" i="3"/>
  <c r="I116" i="3"/>
  <c r="I123" i="3"/>
  <c r="H115" i="3"/>
  <c r="D115" i="3"/>
  <c r="C115" i="3"/>
  <c r="I114" i="3"/>
  <c r="I113" i="3"/>
  <c r="I112" i="3"/>
  <c r="I111" i="3"/>
  <c r="I110" i="3"/>
  <c r="I109" i="3"/>
  <c r="I108" i="3"/>
  <c r="I115" i="3"/>
  <c r="H107" i="3"/>
  <c r="D107" i="3"/>
  <c r="C107" i="3"/>
  <c r="I106" i="3"/>
  <c r="I105" i="3"/>
  <c r="I104" i="3"/>
  <c r="I103" i="3"/>
  <c r="I102" i="3"/>
  <c r="I101" i="3"/>
  <c r="I100" i="3"/>
  <c r="I107" i="3"/>
  <c r="H99" i="3"/>
  <c r="H124" i="3" s="1"/>
  <c r="D99" i="3"/>
  <c r="C99" i="3"/>
  <c r="I98" i="3"/>
  <c r="I97" i="3"/>
  <c r="I96" i="3"/>
  <c r="I95" i="3"/>
  <c r="I94" i="3"/>
  <c r="I93" i="3"/>
  <c r="I92" i="3"/>
  <c r="H79" i="3"/>
  <c r="D79" i="3"/>
  <c r="C79" i="3"/>
  <c r="I78" i="3"/>
  <c r="I77" i="3"/>
  <c r="I76" i="3"/>
  <c r="I75" i="3"/>
  <c r="I74" i="3"/>
  <c r="I73" i="3"/>
  <c r="I72" i="3"/>
  <c r="I79" i="3"/>
  <c r="H71" i="3"/>
  <c r="D71" i="3"/>
  <c r="C71" i="3"/>
  <c r="I70" i="3"/>
  <c r="I69" i="3"/>
  <c r="I68" i="3"/>
  <c r="I67" i="3"/>
  <c r="I66" i="3"/>
  <c r="I71" i="3"/>
  <c r="H63" i="3"/>
  <c r="D63" i="3"/>
  <c r="C63" i="3"/>
  <c r="I62" i="3"/>
  <c r="I61" i="3"/>
  <c r="I60" i="3"/>
  <c r="I59" i="3"/>
  <c r="I58" i="3"/>
  <c r="I57" i="3"/>
  <c r="I56" i="3"/>
  <c r="I63" i="3"/>
  <c r="H55" i="3"/>
  <c r="D55" i="3"/>
  <c r="C55" i="3"/>
  <c r="I54" i="3"/>
  <c r="I53" i="3"/>
  <c r="I52" i="3"/>
  <c r="I51" i="3"/>
  <c r="I50" i="3"/>
  <c r="I49" i="3"/>
  <c r="I48" i="3"/>
  <c r="I55" i="3"/>
  <c r="H211" i="1"/>
  <c r="D211" i="1"/>
  <c r="C211" i="1"/>
  <c r="I210" i="1"/>
  <c r="I209" i="1"/>
  <c r="I208" i="1"/>
  <c r="I207" i="1"/>
  <c r="I206" i="1"/>
  <c r="I205" i="1"/>
  <c r="I204" i="1"/>
  <c r="I211" i="1"/>
  <c r="H203" i="1"/>
  <c r="D203" i="1"/>
  <c r="C203" i="1"/>
  <c r="I202" i="1"/>
  <c r="I201" i="1"/>
  <c r="I200" i="1"/>
  <c r="I199" i="1"/>
  <c r="I198" i="1"/>
  <c r="I197" i="1"/>
  <c r="I196" i="1"/>
  <c r="I203" i="1"/>
  <c r="H195" i="1"/>
  <c r="D195" i="1"/>
  <c r="C195" i="1"/>
  <c r="I194" i="1"/>
  <c r="I193" i="1"/>
  <c r="I192" i="1"/>
  <c r="I191" i="1"/>
  <c r="I190" i="1"/>
  <c r="I189" i="1"/>
  <c r="I188" i="1"/>
  <c r="I195" i="1"/>
  <c r="H187" i="1"/>
  <c r="D187" i="1"/>
  <c r="C187" i="1"/>
  <c r="I186" i="1"/>
  <c r="I185" i="1"/>
  <c r="I184" i="1"/>
  <c r="I183" i="1"/>
  <c r="I182" i="1"/>
  <c r="I181" i="1"/>
  <c r="I180" i="1"/>
  <c r="I187" i="1"/>
  <c r="H167" i="1"/>
  <c r="D167" i="1"/>
  <c r="C167" i="1"/>
  <c r="I166" i="1"/>
  <c r="I165" i="1"/>
  <c r="I164" i="1"/>
  <c r="I163" i="1"/>
  <c r="I162" i="1"/>
  <c r="I161" i="1"/>
  <c r="I160" i="1"/>
  <c r="I167" i="1"/>
  <c r="H159" i="1"/>
  <c r="D159" i="1"/>
  <c r="C159" i="1"/>
  <c r="I158" i="1"/>
  <c r="I157" i="1"/>
  <c r="I156" i="1"/>
  <c r="I155" i="1"/>
  <c r="I154" i="1"/>
  <c r="I153" i="1"/>
  <c r="I152" i="1"/>
  <c r="I159" i="1"/>
  <c r="H151" i="1"/>
  <c r="D151" i="1"/>
  <c r="C151" i="1"/>
  <c r="I150" i="1"/>
  <c r="I149" i="1"/>
  <c r="I148" i="1"/>
  <c r="I147" i="1"/>
  <c r="I146" i="1"/>
  <c r="I145" i="1"/>
  <c r="I144" i="1"/>
  <c r="I151" i="1"/>
  <c r="H143" i="1"/>
  <c r="D143" i="1"/>
  <c r="C143" i="1"/>
  <c r="I142" i="1"/>
  <c r="I141" i="1"/>
  <c r="I140" i="1"/>
  <c r="I139" i="1"/>
  <c r="I138" i="1"/>
  <c r="I137" i="1"/>
  <c r="I136" i="1"/>
  <c r="I143" i="1"/>
  <c r="H123" i="1"/>
  <c r="D123" i="1"/>
  <c r="C123" i="1"/>
  <c r="I122" i="1"/>
  <c r="I121" i="1"/>
  <c r="I120" i="1"/>
  <c r="I119" i="1"/>
  <c r="I118" i="1"/>
  <c r="I117" i="1"/>
  <c r="I116" i="1"/>
  <c r="I123" i="1"/>
  <c r="H115" i="1"/>
  <c r="D115" i="1"/>
  <c r="C115" i="1"/>
  <c r="I114" i="1"/>
  <c r="I113" i="1"/>
  <c r="I112" i="1"/>
  <c r="I111" i="1"/>
  <c r="I110" i="1"/>
  <c r="I109" i="1"/>
  <c r="I108" i="1"/>
  <c r="I115" i="1"/>
  <c r="H107" i="1"/>
  <c r="D107" i="1"/>
  <c r="C107" i="1"/>
  <c r="I106" i="1"/>
  <c r="I105" i="1"/>
  <c r="I104" i="1"/>
  <c r="I103" i="1"/>
  <c r="I102" i="1"/>
  <c r="I101" i="1"/>
  <c r="I100" i="1"/>
  <c r="I107" i="1"/>
  <c r="H99" i="1"/>
  <c r="H124" i="1" s="1"/>
  <c r="D99" i="1"/>
  <c r="C99" i="1"/>
  <c r="I98" i="1"/>
  <c r="I97" i="1"/>
  <c r="I96" i="1"/>
  <c r="I95" i="1"/>
  <c r="I94" i="1"/>
  <c r="I93" i="1"/>
  <c r="I92" i="1"/>
  <c r="H79" i="1"/>
  <c r="D79" i="1"/>
  <c r="I78" i="1"/>
  <c r="I77" i="1"/>
  <c r="I76" i="1"/>
  <c r="I75" i="1"/>
  <c r="I74" i="1"/>
  <c r="I73" i="1"/>
  <c r="I72" i="1"/>
  <c r="I79" i="1"/>
  <c r="H71" i="1"/>
  <c r="D71" i="1"/>
  <c r="C71" i="1"/>
  <c r="I70" i="1"/>
  <c r="I69" i="1"/>
  <c r="I68" i="1"/>
  <c r="I66" i="1"/>
  <c r="I65" i="1"/>
  <c r="I64" i="1"/>
  <c r="I71" i="1"/>
  <c r="H63" i="1"/>
  <c r="C63" i="1"/>
  <c r="I62" i="1"/>
  <c r="I63" i="1" s="1"/>
  <c r="I61" i="1"/>
  <c r="I60" i="1"/>
  <c r="I59" i="1"/>
  <c r="I56" i="1"/>
  <c r="H55" i="1"/>
  <c r="D55" i="1"/>
  <c r="I54" i="1"/>
  <c r="I53" i="1"/>
  <c r="I52" i="1"/>
  <c r="I51" i="1"/>
  <c r="I50" i="1"/>
  <c r="I49" i="1"/>
  <c r="I48" i="1"/>
  <c r="I55" i="1"/>
  <c r="I25" i="21"/>
  <c r="I10" i="12"/>
  <c r="I23" i="12"/>
  <c r="I7" i="19"/>
  <c r="C38" i="3"/>
  <c r="H35" i="4"/>
  <c r="D35" i="4"/>
  <c r="C35" i="4"/>
  <c r="I34" i="4"/>
  <c r="I33" i="4"/>
  <c r="I32" i="4"/>
  <c r="I31" i="4"/>
  <c r="I30" i="4"/>
  <c r="I29" i="4"/>
  <c r="I28" i="4"/>
  <c r="I35" i="4"/>
  <c r="H27" i="4"/>
  <c r="D27" i="4"/>
  <c r="C27" i="4"/>
  <c r="I26" i="4"/>
  <c r="I25" i="4"/>
  <c r="I24" i="4"/>
  <c r="I23" i="4"/>
  <c r="I22" i="4"/>
  <c r="I21" i="4"/>
  <c r="I20" i="4"/>
  <c r="I27" i="4"/>
  <c r="H19" i="4"/>
  <c r="D19" i="4"/>
  <c r="C19" i="4"/>
  <c r="I18" i="4"/>
  <c r="I17" i="4"/>
  <c r="I16" i="4"/>
  <c r="I15" i="4"/>
  <c r="I14" i="4"/>
  <c r="I13" i="4"/>
  <c r="I12" i="4"/>
  <c r="I19" i="4"/>
  <c r="H11" i="4"/>
  <c r="D11" i="4"/>
  <c r="C11" i="4"/>
  <c r="I10" i="4"/>
  <c r="I9" i="4"/>
  <c r="I8" i="4"/>
  <c r="I7" i="4"/>
  <c r="I6" i="4"/>
  <c r="I5" i="4"/>
  <c r="I4" i="4"/>
  <c r="I11" i="4"/>
  <c r="B4" i="4"/>
  <c r="B5" i="4"/>
  <c r="B6" i="4"/>
  <c r="B7" i="4"/>
  <c r="B8" i="4"/>
  <c r="B9" i="4"/>
  <c r="B10" i="4"/>
  <c r="B12" i="4"/>
  <c r="B13" i="4"/>
  <c r="B14" i="4"/>
  <c r="B15" i="4"/>
  <c r="B16" i="4"/>
  <c r="B17" i="4"/>
  <c r="B18" i="4"/>
  <c r="B20" i="4"/>
  <c r="B21" i="4"/>
  <c r="B22" i="4"/>
  <c r="B23" i="4"/>
  <c r="B24" i="4"/>
  <c r="B25" i="4"/>
  <c r="B26" i="4"/>
  <c r="B28" i="4"/>
  <c r="B29" i="4"/>
  <c r="B30" i="4"/>
  <c r="B31" i="4"/>
  <c r="B32" i="4"/>
  <c r="B33" i="4"/>
  <c r="B34" i="4"/>
  <c r="C38" i="4"/>
  <c r="B4" i="5"/>
  <c r="B5" i="5"/>
  <c r="B6" i="5"/>
  <c r="B7" i="5"/>
  <c r="B8" i="5"/>
  <c r="B9" i="5"/>
  <c r="B10" i="5"/>
  <c r="B12" i="5"/>
  <c r="B13" i="5"/>
  <c r="B14" i="5"/>
  <c r="B15" i="5"/>
  <c r="B16" i="5"/>
  <c r="B17" i="5"/>
  <c r="B18" i="5"/>
  <c r="B20" i="5"/>
  <c r="B21" i="5"/>
  <c r="B22" i="5"/>
  <c r="B23" i="5"/>
  <c r="B24" i="5"/>
  <c r="B25" i="5"/>
  <c r="B26" i="5"/>
  <c r="B28" i="5"/>
  <c r="B29" i="5"/>
  <c r="B30" i="5"/>
  <c r="B31" i="5"/>
  <c r="B32" i="5"/>
  <c r="B33" i="5"/>
  <c r="B34" i="5"/>
  <c r="C38" i="5"/>
  <c r="H35" i="6"/>
  <c r="D35" i="6"/>
  <c r="C35" i="6"/>
  <c r="I34" i="6"/>
  <c r="I33" i="6"/>
  <c r="I32" i="6"/>
  <c r="I31" i="6"/>
  <c r="I30" i="6"/>
  <c r="I29" i="6"/>
  <c r="I28" i="6"/>
  <c r="I35" i="6"/>
  <c r="H27" i="6"/>
  <c r="D27" i="6"/>
  <c r="C27" i="6"/>
  <c r="I26" i="6"/>
  <c r="I25" i="6"/>
  <c r="I24" i="6"/>
  <c r="I23" i="6"/>
  <c r="I22" i="6"/>
  <c r="I21" i="6"/>
  <c r="I20" i="6"/>
  <c r="I27" i="6"/>
  <c r="H19" i="6"/>
  <c r="D19" i="6"/>
  <c r="C19" i="6"/>
  <c r="I18" i="6"/>
  <c r="I17" i="6"/>
  <c r="I16" i="6"/>
  <c r="I15" i="6"/>
  <c r="I14" i="6"/>
  <c r="I13" i="6"/>
  <c r="I12" i="6"/>
  <c r="I19" i="6"/>
  <c r="H11" i="6"/>
  <c r="D11" i="6"/>
  <c r="C11" i="6"/>
  <c r="I10" i="6"/>
  <c r="I9" i="6"/>
  <c r="I8" i="6"/>
  <c r="I7" i="6"/>
  <c r="I6" i="6"/>
  <c r="I5" i="6"/>
  <c r="I4" i="6"/>
  <c r="I11" i="6"/>
  <c r="B4" i="6"/>
  <c r="B5" i="6"/>
  <c r="B6" i="6"/>
  <c r="B7" i="6"/>
  <c r="B8" i="6"/>
  <c r="B9" i="6"/>
  <c r="B10" i="6"/>
  <c r="B12" i="6"/>
  <c r="B13" i="6"/>
  <c r="B14" i="6"/>
  <c r="B15" i="6"/>
  <c r="B16" i="6"/>
  <c r="B17" i="6"/>
  <c r="B18" i="6"/>
  <c r="B20" i="6"/>
  <c r="B21" i="6"/>
  <c r="B22" i="6"/>
  <c r="B23" i="6"/>
  <c r="B24" i="6"/>
  <c r="B25" i="6"/>
  <c r="B26" i="6"/>
  <c r="B28" i="6"/>
  <c r="B29" i="6"/>
  <c r="B30" i="6"/>
  <c r="B31" i="6"/>
  <c r="B32" i="6"/>
  <c r="B33" i="6"/>
  <c r="B34" i="6"/>
  <c r="C38" i="6"/>
  <c r="H35" i="7"/>
  <c r="D35" i="7"/>
  <c r="C35" i="7"/>
  <c r="I34" i="7"/>
  <c r="I32" i="7"/>
  <c r="I31" i="7"/>
  <c r="I30" i="7"/>
  <c r="I29" i="7"/>
  <c r="I35" i="7"/>
  <c r="H27" i="7"/>
  <c r="D27" i="7"/>
  <c r="C27" i="7"/>
  <c r="I26" i="7"/>
  <c r="I25" i="7"/>
  <c r="I27" i="7" s="1"/>
  <c r="I24" i="7"/>
  <c r="I23" i="7"/>
  <c r="I22" i="7"/>
  <c r="I21" i="7"/>
  <c r="I20" i="7"/>
  <c r="H19" i="7"/>
  <c r="D19" i="7"/>
  <c r="C19" i="7"/>
  <c r="C36" i="7" s="1"/>
  <c r="I18" i="7"/>
  <c r="I17" i="7"/>
  <c r="I16" i="7"/>
  <c r="I15" i="7"/>
  <c r="I14" i="7"/>
  <c r="I13" i="7"/>
  <c r="I12" i="7"/>
  <c r="H11" i="7"/>
  <c r="H36" i="7" s="1"/>
  <c r="D11" i="7"/>
  <c r="C11" i="7"/>
  <c r="I10" i="7"/>
  <c r="I9" i="7"/>
  <c r="I8" i="7"/>
  <c r="I7" i="7"/>
  <c r="I6" i="7"/>
  <c r="I5" i="7"/>
  <c r="I4" i="7"/>
  <c r="I11" i="7"/>
  <c r="B4" i="7"/>
  <c r="B5" i="7"/>
  <c r="B6" i="7"/>
  <c r="B7" i="7"/>
  <c r="B8" i="7"/>
  <c r="B9" i="7"/>
  <c r="B10" i="7"/>
  <c r="B12" i="7"/>
  <c r="B13" i="7"/>
  <c r="B14" i="7"/>
  <c r="B15" i="7"/>
  <c r="B16" i="7"/>
  <c r="B17" i="7"/>
  <c r="B18" i="7"/>
  <c r="B20" i="7"/>
  <c r="B21" i="7"/>
  <c r="B22" i="7"/>
  <c r="B23" i="7"/>
  <c r="B24" i="7"/>
  <c r="B25" i="7"/>
  <c r="B26" i="7"/>
  <c r="B28" i="7"/>
  <c r="B29" i="7"/>
  <c r="B30" i="7"/>
  <c r="B31" i="7"/>
  <c r="B32" i="7"/>
  <c r="B33" i="7"/>
  <c r="B34" i="7"/>
  <c r="C38" i="7"/>
  <c r="H35" i="8"/>
  <c r="D35" i="8"/>
  <c r="C35" i="8"/>
  <c r="C36" i="8"/>
  <c r="I34" i="8"/>
  <c r="I33" i="8"/>
  <c r="I32" i="8"/>
  <c r="I31" i="8"/>
  <c r="I30" i="8"/>
  <c r="I29" i="8"/>
  <c r="I28" i="8"/>
  <c r="I35" i="8"/>
  <c r="H27" i="8"/>
  <c r="D27" i="8"/>
  <c r="C27" i="8"/>
  <c r="I26" i="8"/>
  <c r="I25" i="8"/>
  <c r="I24" i="8"/>
  <c r="I23" i="8"/>
  <c r="I22" i="8"/>
  <c r="I21" i="8"/>
  <c r="I20" i="8"/>
  <c r="I27" i="8"/>
  <c r="H19" i="8"/>
  <c r="D19" i="8"/>
  <c r="C19" i="8"/>
  <c r="I18" i="8"/>
  <c r="I17" i="8"/>
  <c r="I16" i="8"/>
  <c r="I15" i="8"/>
  <c r="I14" i="8"/>
  <c r="I13" i="8"/>
  <c r="I12" i="8"/>
  <c r="I19" i="8"/>
  <c r="H11" i="8"/>
  <c r="D11" i="8"/>
  <c r="C11" i="8"/>
  <c r="I10" i="8"/>
  <c r="I9" i="8"/>
  <c r="I8" i="8"/>
  <c r="I7" i="8"/>
  <c r="I6" i="8"/>
  <c r="I5" i="8"/>
  <c r="I4" i="8"/>
  <c r="I11" i="8"/>
  <c r="B4" i="8"/>
  <c r="B5" i="8"/>
  <c r="B6" i="8"/>
  <c r="B7" i="8"/>
  <c r="B8" i="8"/>
  <c r="B9" i="8"/>
  <c r="B10" i="8"/>
  <c r="B12" i="8"/>
  <c r="B13" i="8"/>
  <c r="B14" i="8"/>
  <c r="B15" i="8"/>
  <c r="B16" i="8"/>
  <c r="B17" i="8"/>
  <c r="B18" i="8"/>
  <c r="B20" i="8"/>
  <c r="B21" i="8"/>
  <c r="B22" i="8"/>
  <c r="B23" i="8"/>
  <c r="B24" i="8"/>
  <c r="B25" i="8"/>
  <c r="B26" i="8"/>
  <c r="B28" i="8"/>
  <c r="B29" i="8"/>
  <c r="B30" i="8"/>
  <c r="B31" i="8"/>
  <c r="B32" i="8"/>
  <c r="B33" i="8"/>
  <c r="B34" i="8"/>
  <c r="C38" i="8"/>
  <c r="H35" i="9"/>
  <c r="D35" i="9"/>
  <c r="C35" i="9"/>
  <c r="I34" i="9"/>
  <c r="I33" i="9"/>
  <c r="I32" i="9"/>
  <c r="I31" i="9"/>
  <c r="I30" i="9"/>
  <c r="I29" i="9"/>
  <c r="I28" i="9"/>
  <c r="I35" i="9"/>
  <c r="H27" i="9"/>
  <c r="D27" i="9"/>
  <c r="C27" i="9"/>
  <c r="I26" i="9"/>
  <c r="I25" i="9"/>
  <c r="I24" i="9"/>
  <c r="I23" i="9"/>
  <c r="I22" i="9"/>
  <c r="I21" i="9"/>
  <c r="I20" i="9"/>
  <c r="I27" i="9"/>
  <c r="H19" i="9"/>
  <c r="D19" i="9"/>
  <c r="C19" i="9"/>
  <c r="I18" i="9"/>
  <c r="I17" i="9"/>
  <c r="I16" i="9"/>
  <c r="I15" i="9"/>
  <c r="I14" i="9"/>
  <c r="I13" i="9"/>
  <c r="I12" i="9"/>
  <c r="I19" i="9"/>
  <c r="H11" i="9"/>
  <c r="H36" i="9" s="1"/>
  <c r="D11" i="9"/>
  <c r="C11" i="9"/>
  <c r="I10" i="9"/>
  <c r="I9" i="9"/>
  <c r="I8" i="9"/>
  <c r="I7" i="9"/>
  <c r="I6" i="9"/>
  <c r="I5" i="9"/>
  <c r="I4" i="9"/>
  <c r="I11" i="9"/>
  <c r="B4" i="9"/>
  <c r="B5" i="9"/>
  <c r="B6" i="9"/>
  <c r="B7" i="9"/>
  <c r="B8" i="9"/>
  <c r="B9" i="9"/>
  <c r="B10" i="9"/>
  <c r="B12" i="9"/>
  <c r="B13" i="9"/>
  <c r="B14" i="9"/>
  <c r="B15" i="9"/>
  <c r="B16" i="9"/>
  <c r="B17" i="9"/>
  <c r="B18" i="9"/>
  <c r="B20" i="9"/>
  <c r="B21" i="9"/>
  <c r="B22" i="9"/>
  <c r="B23" i="9"/>
  <c r="B24" i="9"/>
  <c r="B25" i="9"/>
  <c r="B26" i="9"/>
  <c r="B28" i="9"/>
  <c r="B29" i="9"/>
  <c r="B30" i="9"/>
  <c r="B31" i="9"/>
  <c r="B32" i="9"/>
  <c r="B33" i="9"/>
  <c r="B34" i="9"/>
  <c r="C38" i="9"/>
  <c r="H35" i="10"/>
  <c r="D35" i="10"/>
  <c r="C35" i="10"/>
  <c r="I34" i="10"/>
  <c r="I33" i="10"/>
  <c r="I32" i="10"/>
  <c r="I31" i="10"/>
  <c r="I30" i="10"/>
  <c r="I29" i="10"/>
  <c r="I28" i="10"/>
  <c r="I35" i="10"/>
  <c r="H27" i="10"/>
  <c r="D27" i="10"/>
  <c r="C27" i="10"/>
  <c r="I26" i="10"/>
  <c r="I25" i="10"/>
  <c r="I24" i="10"/>
  <c r="I23" i="10"/>
  <c r="I22" i="10"/>
  <c r="I21" i="10"/>
  <c r="I20" i="10"/>
  <c r="H19" i="10"/>
  <c r="D19" i="10"/>
  <c r="C19" i="10"/>
  <c r="I18" i="10"/>
  <c r="I17" i="10"/>
  <c r="I16" i="10"/>
  <c r="I15" i="10"/>
  <c r="I14" i="10"/>
  <c r="I13" i="10"/>
  <c r="I12" i="10"/>
  <c r="H11" i="10"/>
  <c r="D11" i="10"/>
  <c r="C11" i="10"/>
  <c r="I10" i="10"/>
  <c r="I9" i="10"/>
  <c r="I8" i="10"/>
  <c r="I7" i="10"/>
  <c r="I6" i="10"/>
  <c r="I5" i="10"/>
  <c r="I4" i="10"/>
  <c r="I11" i="10"/>
  <c r="B4" i="10"/>
  <c r="B5" i="10"/>
  <c r="B6" i="10"/>
  <c r="B7" i="10"/>
  <c r="B8" i="10"/>
  <c r="B9" i="10"/>
  <c r="B10" i="10"/>
  <c r="B12" i="10"/>
  <c r="B13" i="10"/>
  <c r="B14" i="10"/>
  <c r="B15" i="10"/>
  <c r="B16" i="10"/>
  <c r="B17" i="10"/>
  <c r="B18" i="10"/>
  <c r="B20" i="10"/>
  <c r="B21" i="10"/>
  <c r="B22" i="10"/>
  <c r="B23" i="10"/>
  <c r="B24" i="10"/>
  <c r="B25" i="10"/>
  <c r="B26" i="10"/>
  <c r="B28" i="10"/>
  <c r="B29" i="10"/>
  <c r="B30" i="10"/>
  <c r="B31" i="10"/>
  <c r="B32" i="10"/>
  <c r="B33" i="10"/>
  <c r="B34" i="10"/>
  <c r="C38" i="10"/>
  <c r="H35" i="11"/>
  <c r="D35" i="11"/>
  <c r="C35" i="11"/>
  <c r="I34" i="11"/>
  <c r="I33" i="11"/>
  <c r="I32" i="11"/>
  <c r="I31" i="11"/>
  <c r="I30" i="11"/>
  <c r="I29" i="11"/>
  <c r="I28" i="11"/>
  <c r="I35" i="11"/>
  <c r="H27" i="11"/>
  <c r="I26" i="11"/>
  <c r="I25" i="11"/>
  <c r="I24" i="11"/>
  <c r="I23" i="11"/>
  <c r="I22" i="11"/>
  <c r="I21" i="11"/>
  <c r="I20" i="11"/>
  <c r="I27" i="11"/>
  <c r="H19" i="11"/>
  <c r="D19" i="11"/>
  <c r="C19" i="11"/>
  <c r="I18" i="11"/>
  <c r="I17" i="11"/>
  <c r="I16" i="11"/>
  <c r="I15" i="11"/>
  <c r="I14" i="11"/>
  <c r="I13" i="11"/>
  <c r="I12" i="11"/>
  <c r="I19" i="11"/>
  <c r="H11" i="11"/>
  <c r="H36" i="11" s="1"/>
  <c r="D11" i="11"/>
  <c r="C11" i="11"/>
  <c r="I10" i="11"/>
  <c r="I9" i="11"/>
  <c r="I8" i="11"/>
  <c r="I7" i="11"/>
  <c r="I6" i="11"/>
  <c r="I5" i="11"/>
  <c r="I4" i="11"/>
  <c r="I11" i="11"/>
  <c r="B4" i="11"/>
  <c r="B5" i="11"/>
  <c r="B6" i="11"/>
  <c r="B7" i="11"/>
  <c r="B8" i="11"/>
  <c r="B9" i="11"/>
  <c r="B10" i="11"/>
  <c r="B12" i="11"/>
  <c r="B13" i="11"/>
  <c r="B14" i="11"/>
  <c r="B15" i="11"/>
  <c r="B16" i="11"/>
  <c r="B17" i="11"/>
  <c r="B18" i="11"/>
  <c r="B20" i="11"/>
  <c r="B21" i="11"/>
  <c r="B22" i="11"/>
  <c r="B23" i="11"/>
  <c r="B24" i="11"/>
  <c r="B25" i="11"/>
  <c r="B26" i="11"/>
  <c r="B28" i="11"/>
  <c r="B29" i="11"/>
  <c r="B30" i="11"/>
  <c r="B31" i="11"/>
  <c r="B32" i="11"/>
  <c r="B33" i="11"/>
  <c r="B34" i="11"/>
  <c r="C38" i="11"/>
  <c r="H35" i="12"/>
  <c r="D35" i="12"/>
  <c r="C35" i="12"/>
  <c r="I32" i="12"/>
  <c r="I31" i="12"/>
  <c r="I30" i="12"/>
  <c r="I29" i="12"/>
  <c r="I35" i="12" s="1"/>
  <c r="I28" i="12"/>
  <c r="H27" i="12"/>
  <c r="D27" i="12"/>
  <c r="C27" i="12"/>
  <c r="C36" i="12" s="1"/>
  <c r="I26" i="12"/>
  <c r="I25" i="12"/>
  <c r="I24" i="12"/>
  <c r="I22" i="12"/>
  <c r="I21" i="12"/>
  <c r="I20" i="12"/>
  <c r="I27" i="12"/>
  <c r="H19" i="12"/>
  <c r="D19" i="12"/>
  <c r="C19" i="12"/>
  <c r="I18" i="12"/>
  <c r="I17" i="12"/>
  <c r="I16" i="12"/>
  <c r="I19" i="12" s="1"/>
  <c r="I15" i="12"/>
  <c r="I14" i="12"/>
  <c r="I13" i="12"/>
  <c r="I12" i="12"/>
  <c r="H11" i="12"/>
  <c r="D11" i="12"/>
  <c r="C11" i="12"/>
  <c r="I9" i="12"/>
  <c r="I8" i="12"/>
  <c r="I7" i="12"/>
  <c r="I6" i="12"/>
  <c r="I5" i="12"/>
  <c r="I4" i="12"/>
  <c r="I11" i="12" s="1"/>
  <c r="B4" i="12"/>
  <c r="B5" i="12"/>
  <c r="B6" i="12"/>
  <c r="B7" i="12" s="1"/>
  <c r="B8" i="12" s="1"/>
  <c r="B9" i="12" s="1"/>
  <c r="B10" i="12" s="1"/>
  <c r="B12" i="12" s="1"/>
  <c r="B13" i="12" s="1"/>
  <c r="B14" i="12" s="1"/>
  <c r="B15" i="12" s="1"/>
  <c r="B16" i="12" s="1"/>
  <c r="B17" i="12" s="1"/>
  <c r="B18" i="12" s="1"/>
  <c r="B20" i="12" s="1"/>
  <c r="B21" i="12" s="1"/>
  <c r="B22" i="12" s="1"/>
  <c r="B23" i="12" s="1"/>
  <c r="B24" i="12" s="1"/>
  <c r="B25" i="12" s="1"/>
  <c r="B26" i="12" s="1"/>
  <c r="B28" i="12" s="1"/>
  <c r="B29" i="12" s="1"/>
  <c r="B30" i="12" s="1"/>
  <c r="B31" i="12" s="1"/>
  <c r="B32" i="12" s="1"/>
  <c r="B33" i="12" s="1"/>
  <c r="B34" i="12" s="1"/>
  <c r="C38" i="12" s="1"/>
  <c r="H35" i="13"/>
  <c r="D35" i="13"/>
  <c r="C35" i="13"/>
  <c r="I34" i="13"/>
  <c r="I33" i="13"/>
  <c r="I32" i="13"/>
  <c r="I31" i="13"/>
  <c r="I30" i="13"/>
  <c r="I29" i="13"/>
  <c r="I28" i="13"/>
  <c r="I35" i="13"/>
  <c r="H27" i="13"/>
  <c r="D27" i="13"/>
  <c r="C27" i="13"/>
  <c r="I26" i="13"/>
  <c r="I25" i="13"/>
  <c r="I24" i="13"/>
  <c r="I23" i="13"/>
  <c r="I22" i="13"/>
  <c r="I21" i="13"/>
  <c r="I20" i="13"/>
  <c r="I27" i="13"/>
  <c r="H19" i="13"/>
  <c r="D19" i="13"/>
  <c r="C19" i="13"/>
  <c r="I18" i="13"/>
  <c r="I17" i="13"/>
  <c r="I16" i="13"/>
  <c r="I15" i="13"/>
  <c r="I14" i="13"/>
  <c r="I13" i="13"/>
  <c r="I12" i="13"/>
  <c r="I19" i="13"/>
  <c r="H11" i="13"/>
  <c r="D11" i="13"/>
  <c r="C11" i="13"/>
  <c r="I10" i="13"/>
  <c r="I9" i="13"/>
  <c r="I8" i="13"/>
  <c r="I7" i="13"/>
  <c r="I6" i="13"/>
  <c r="I5" i="13"/>
  <c r="I4" i="13"/>
  <c r="I11" i="13"/>
  <c r="B4" i="13"/>
  <c r="B5" i="13"/>
  <c r="B6" i="13"/>
  <c r="B7" i="13"/>
  <c r="B8" i="13"/>
  <c r="B9" i="13"/>
  <c r="B10" i="13"/>
  <c r="B12" i="13"/>
  <c r="B13" i="13"/>
  <c r="B14" i="13"/>
  <c r="B15" i="13"/>
  <c r="B16" i="13"/>
  <c r="B17" i="13"/>
  <c r="B18" i="13"/>
  <c r="B20" i="13"/>
  <c r="B21" i="13"/>
  <c r="B22" i="13"/>
  <c r="B23" i="13"/>
  <c r="B24" i="13"/>
  <c r="B25" i="13"/>
  <c r="B26" i="13"/>
  <c r="B28" i="13"/>
  <c r="B29" i="13"/>
  <c r="B30" i="13"/>
  <c r="B31" i="13"/>
  <c r="B32" i="13"/>
  <c r="B33" i="13"/>
  <c r="B34" i="13"/>
  <c r="C38" i="13"/>
  <c r="H35" i="14"/>
  <c r="H36" i="14"/>
  <c r="D35" i="14"/>
  <c r="D27" i="14"/>
  <c r="D11" i="14"/>
  <c r="D36" i="14"/>
  <c r="C35" i="14"/>
  <c r="I34" i="14"/>
  <c r="I33" i="14"/>
  <c r="I32" i="14"/>
  <c r="I31" i="14"/>
  <c r="I30" i="14"/>
  <c r="I29" i="14"/>
  <c r="I28" i="14"/>
  <c r="I35" i="14"/>
  <c r="H27" i="14"/>
  <c r="C27" i="14"/>
  <c r="I26" i="14"/>
  <c r="I25" i="14"/>
  <c r="I24" i="14"/>
  <c r="I23" i="14"/>
  <c r="I22" i="14"/>
  <c r="I21" i="14"/>
  <c r="I20" i="14"/>
  <c r="I27" i="14"/>
  <c r="H19" i="14"/>
  <c r="D19" i="14"/>
  <c r="C19" i="14"/>
  <c r="I18" i="14"/>
  <c r="I17" i="14"/>
  <c r="I16" i="14"/>
  <c r="I15" i="14"/>
  <c r="I14" i="14"/>
  <c r="I13" i="14"/>
  <c r="I12" i="14"/>
  <c r="I19" i="14"/>
  <c r="H11" i="14"/>
  <c r="C11" i="14"/>
  <c r="I10" i="14"/>
  <c r="I9" i="14"/>
  <c r="I8" i="14"/>
  <c r="I7" i="14"/>
  <c r="I6" i="14"/>
  <c r="I5" i="14"/>
  <c r="I4" i="14"/>
  <c r="I11" i="14"/>
  <c r="B4" i="14"/>
  <c r="B5" i="14"/>
  <c r="B6" i="14"/>
  <c r="B7" i="14"/>
  <c r="B8" i="14"/>
  <c r="B9" i="14"/>
  <c r="B10" i="14"/>
  <c r="B12" i="14"/>
  <c r="B13" i="14"/>
  <c r="B14" i="14"/>
  <c r="B15" i="14"/>
  <c r="B16" i="14"/>
  <c r="B17" i="14"/>
  <c r="B18" i="14"/>
  <c r="B20" i="14"/>
  <c r="B21" i="14"/>
  <c r="B22" i="14"/>
  <c r="B23" i="14"/>
  <c r="B24" i="14"/>
  <c r="B25" i="14"/>
  <c r="B26" i="14"/>
  <c r="B28" i="14"/>
  <c r="B29" i="14"/>
  <c r="B30" i="14"/>
  <c r="B31" i="14"/>
  <c r="B32" i="14"/>
  <c r="B33" i="14"/>
  <c r="B34" i="14"/>
  <c r="C38" i="14"/>
  <c r="H27" i="15"/>
  <c r="H36" i="15"/>
  <c r="H37" i="15" s="1"/>
  <c r="D35" i="15"/>
  <c r="D36" i="15"/>
  <c r="C35" i="15"/>
  <c r="C36" i="15"/>
  <c r="I34" i="15"/>
  <c r="I33" i="15"/>
  <c r="I32" i="15"/>
  <c r="I31" i="15"/>
  <c r="I30" i="15"/>
  <c r="I29" i="15"/>
  <c r="I28" i="15"/>
  <c r="I35" i="15"/>
  <c r="D27" i="15"/>
  <c r="C27" i="15"/>
  <c r="I26" i="15"/>
  <c r="I25" i="15"/>
  <c r="I24" i="15"/>
  <c r="I23" i="15"/>
  <c r="I22" i="15"/>
  <c r="I21" i="15"/>
  <c r="I20" i="15"/>
  <c r="I27" i="15"/>
  <c r="D19" i="15"/>
  <c r="C19" i="15"/>
  <c r="I18" i="15"/>
  <c r="I17" i="15"/>
  <c r="I16" i="15"/>
  <c r="I15" i="15"/>
  <c r="I14" i="15"/>
  <c r="I13" i="15"/>
  <c r="I12" i="15"/>
  <c r="I19" i="15"/>
  <c r="D11" i="15"/>
  <c r="C11" i="15"/>
  <c r="I10" i="15"/>
  <c r="I9" i="15"/>
  <c r="I8" i="15"/>
  <c r="I7" i="15"/>
  <c r="I6" i="15"/>
  <c r="I5" i="15"/>
  <c r="I4" i="15"/>
  <c r="I11" i="15"/>
  <c r="B4" i="15"/>
  <c r="B5" i="15"/>
  <c r="B6" i="15"/>
  <c r="B7" i="15"/>
  <c r="B8" i="15"/>
  <c r="B9" i="15"/>
  <c r="B10" i="15"/>
  <c r="B12" i="15"/>
  <c r="B13" i="15"/>
  <c r="B14" i="15"/>
  <c r="B15" i="15"/>
  <c r="B16" i="15"/>
  <c r="B17" i="15"/>
  <c r="B18" i="15"/>
  <c r="B20" i="15"/>
  <c r="B21" i="15"/>
  <c r="B22" i="15"/>
  <c r="B23" i="15"/>
  <c r="B24" i="15"/>
  <c r="B25" i="15"/>
  <c r="B26" i="15"/>
  <c r="B28" i="15"/>
  <c r="B29" i="15"/>
  <c r="B30" i="15"/>
  <c r="B31" i="15"/>
  <c r="B32" i="15"/>
  <c r="B33" i="15"/>
  <c r="B34" i="15"/>
  <c r="C38" i="15"/>
  <c r="H35" i="16"/>
  <c r="D35" i="16"/>
  <c r="C35" i="16"/>
  <c r="I34" i="16"/>
  <c r="I33" i="16"/>
  <c r="I32" i="16"/>
  <c r="I31" i="16"/>
  <c r="I30" i="16"/>
  <c r="I29" i="16"/>
  <c r="I28" i="16"/>
  <c r="I35" i="16"/>
  <c r="H27" i="16"/>
  <c r="D27" i="16"/>
  <c r="C27" i="16"/>
  <c r="I26" i="16"/>
  <c r="I25" i="16"/>
  <c r="I24" i="16"/>
  <c r="I23" i="16"/>
  <c r="I22" i="16"/>
  <c r="I21" i="16"/>
  <c r="I20" i="16"/>
  <c r="I27" i="16"/>
  <c r="H19" i="16"/>
  <c r="H36" i="16" s="1"/>
  <c r="D19" i="16"/>
  <c r="C19" i="16"/>
  <c r="I18" i="16"/>
  <c r="I17" i="16"/>
  <c r="I16" i="16"/>
  <c r="I15" i="16"/>
  <c r="I14" i="16"/>
  <c r="I13" i="16"/>
  <c r="I12" i="16"/>
  <c r="I19" i="16"/>
  <c r="H11" i="16"/>
  <c r="D11" i="16"/>
  <c r="C11" i="16"/>
  <c r="C36" i="16" s="1"/>
  <c r="C37" i="16" s="1"/>
  <c r="I10" i="16"/>
  <c r="I9" i="16"/>
  <c r="I8" i="16"/>
  <c r="I7" i="16"/>
  <c r="I6" i="16"/>
  <c r="I5" i="16"/>
  <c r="I4" i="16"/>
  <c r="I11" i="16"/>
  <c r="B4" i="16"/>
  <c r="B5" i="16"/>
  <c r="B6" i="16"/>
  <c r="B7" i="16"/>
  <c r="B8" i="16"/>
  <c r="B9" i="16"/>
  <c r="B10" i="16"/>
  <c r="B12" i="16"/>
  <c r="B13" i="16"/>
  <c r="B14" i="16"/>
  <c r="B15" i="16"/>
  <c r="B16" i="16"/>
  <c r="B17" i="16"/>
  <c r="B18" i="16"/>
  <c r="B20" i="16"/>
  <c r="B21" i="16"/>
  <c r="B22" i="16"/>
  <c r="B23" i="16"/>
  <c r="B24" i="16"/>
  <c r="B25" i="16"/>
  <c r="B26" i="16"/>
  <c r="B28" i="16"/>
  <c r="B29" i="16"/>
  <c r="B30" i="16"/>
  <c r="B31" i="16"/>
  <c r="B32" i="16"/>
  <c r="B33" i="16"/>
  <c r="B34" i="16"/>
  <c r="C38" i="16"/>
  <c r="H35" i="17"/>
  <c r="H36" i="17"/>
  <c r="D35" i="17"/>
  <c r="C35" i="17"/>
  <c r="I34" i="17"/>
  <c r="I33" i="17"/>
  <c r="I32" i="17"/>
  <c r="I31" i="17"/>
  <c r="I30" i="17"/>
  <c r="I29" i="17"/>
  <c r="I28" i="17"/>
  <c r="I35" i="17"/>
  <c r="H27" i="17"/>
  <c r="D27" i="17"/>
  <c r="C27" i="17"/>
  <c r="I26" i="17"/>
  <c r="I25" i="17"/>
  <c r="I24" i="17"/>
  <c r="I23" i="17"/>
  <c r="I22" i="17"/>
  <c r="I21" i="17"/>
  <c r="I20" i="17"/>
  <c r="I27" i="17"/>
  <c r="H19" i="17"/>
  <c r="D19" i="17"/>
  <c r="C19" i="17"/>
  <c r="I18" i="17"/>
  <c r="I17" i="17"/>
  <c r="I16" i="17"/>
  <c r="I15" i="17"/>
  <c r="I14" i="17"/>
  <c r="I13" i="17"/>
  <c r="I12" i="17"/>
  <c r="I19" i="17"/>
  <c r="H11" i="17"/>
  <c r="D11" i="17"/>
  <c r="C11" i="17"/>
  <c r="I10" i="17"/>
  <c r="I9" i="17"/>
  <c r="I8" i="17"/>
  <c r="I7" i="17"/>
  <c r="I6" i="17"/>
  <c r="I5" i="17"/>
  <c r="I4" i="17"/>
  <c r="I11" i="17"/>
  <c r="B4" i="17"/>
  <c r="B5" i="17"/>
  <c r="B6" i="17"/>
  <c r="B7" i="17"/>
  <c r="B8" i="17"/>
  <c r="B9" i="17"/>
  <c r="B10" i="17"/>
  <c r="B12" i="17"/>
  <c r="B13" i="17"/>
  <c r="B14" i="17"/>
  <c r="B15" i="17"/>
  <c r="B16" i="17"/>
  <c r="B17" i="17"/>
  <c r="B18" i="17"/>
  <c r="B20" i="17"/>
  <c r="B21" i="17"/>
  <c r="B22" i="17"/>
  <c r="B23" i="17"/>
  <c r="B24" i="17"/>
  <c r="B25" i="17"/>
  <c r="B26" i="17"/>
  <c r="B28" i="17"/>
  <c r="B29" i="17"/>
  <c r="B30" i="17"/>
  <c r="B31" i="17"/>
  <c r="B32" i="17"/>
  <c r="B33" i="17"/>
  <c r="B34" i="17"/>
  <c r="C38" i="17"/>
  <c r="H35" i="18"/>
  <c r="D35" i="18"/>
  <c r="C35" i="18"/>
  <c r="I34" i="18"/>
  <c r="I33" i="18"/>
  <c r="I32" i="18"/>
  <c r="I31" i="18"/>
  <c r="I30" i="18"/>
  <c r="I29" i="18"/>
  <c r="I28" i="18"/>
  <c r="I35" i="18"/>
  <c r="H27" i="18"/>
  <c r="D27" i="18"/>
  <c r="C27" i="18"/>
  <c r="I26" i="18"/>
  <c r="I25" i="18"/>
  <c r="I24" i="18"/>
  <c r="I23" i="18"/>
  <c r="I22" i="18"/>
  <c r="I21" i="18"/>
  <c r="I20" i="18"/>
  <c r="I27" i="18"/>
  <c r="H19" i="18"/>
  <c r="D19" i="18"/>
  <c r="C19" i="18"/>
  <c r="I18" i="18"/>
  <c r="I17" i="18"/>
  <c r="I16" i="18"/>
  <c r="I15" i="18"/>
  <c r="I14" i="18"/>
  <c r="I13" i="18"/>
  <c r="I12" i="18"/>
  <c r="I19" i="18"/>
  <c r="H11" i="18"/>
  <c r="D11" i="18"/>
  <c r="C11" i="18"/>
  <c r="I10" i="18"/>
  <c r="I9" i="18"/>
  <c r="I8" i="18"/>
  <c r="I7" i="18"/>
  <c r="I6" i="18"/>
  <c r="I5" i="18"/>
  <c r="I4" i="18"/>
  <c r="I11" i="18"/>
  <c r="B4" i="18"/>
  <c r="B5" i="18"/>
  <c r="B6" i="18"/>
  <c r="B7" i="18"/>
  <c r="B8" i="18"/>
  <c r="B9" i="18"/>
  <c r="B10" i="18"/>
  <c r="B12" i="18"/>
  <c r="B13" i="18"/>
  <c r="B14" i="18"/>
  <c r="B15" i="18"/>
  <c r="B16" i="18"/>
  <c r="B17" i="18"/>
  <c r="B18" i="18"/>
  <c r="B20" i="18"/>
  <c r="B21" i="18"/>
  <c r="B22" i="18"/>
  <c r="B23" i="18"/>
  <c r="B24" i="18"/>
  <c r="B25" i="18"/>
  <c r="B26" i="18"/>
  <c r="B28" i="18"/>
  <c r="B29" i="18"/>
  <c r="B30" i="18"/>
  <c r="B31" i="18"/>
  <c r="B32" i="18"/>
  <c r="B33" i="18"/>
  <c r="B34" i="18"/>
  <c r="C38" i="18"/>
  <c r="H35" i="19"/>
  <c r="D35" i="19"/>
  <c r="C35" i="19"/>
  <c r="I34" i="19"/>
  <c r="I33" i="19"/>
  <c r="I32" i="19"/>
  <c r="I31" i="19"/>
  <c r="I30" i="19"/>
  <c r="I29" i="19"/>
  <c r="I28" i="19"/>
  <c r="I35" i="19"/>
  <c r="H27" i="19"/>
  <c r="D27" i="19"/>
  <c r="C27" i="19"/>
  <c r="I26" i="19"/>
  <c r="I25" i="19"/>
  <c r="I24" i="19"/>
  <c r="I23" i="19"/>
  <c r="I22" i="19"/>
  <c r="I21" i="19"/>
  <c r="I20" i="19"/>
  <c r="H19" i="19"/>
  <c r="D19" i="19"/>
  <c r="C19" i="19"/>
  <c r="I18" i="19"/>
  <c r="I17" i="19"/>
  <c r="I16" i="19"/>
  <c r="I15" i="19"/>
  <c r="I14" i="19"/>
  <c r="I13" i="19"/>
  <c r="I12" i="19"/>
  <c r="H11" i="19"/>
  <c r="D11" i="19"/>
  <c r="C11" i="19"/>
  <c r="I10" i="19"/>
  <c r="I9" i="19"/>
  <c r="I8" i="19"/>
  <c r="I6" i="19"/>
  <c r="I5" i="19"/>
  <c r="I4" i="19"/>
  <c r="B4" i="19"/>
  <c r="B5" i="19"/>
  <c r="B6" i="19"/>
  <c r="B7" i="19"/>
  <c r="B8" i="19"/>
  <c r="B9" i="19"/>
  <c r="B10" i="19"/>
  <c r="B12" i="19"/>
  <c r="B13" i="19"/>
  <c r="B14" i="19"/>
  <c r="B15" i="19"/>
  <c r="B16" i="19"/>
  <c r="B17" i="19"/>
  <c r="B18" i="19"/>
  <c r="B20" i="19"/>
  <c r="B21" i="19"/>
  <c r="B22" i="19"/>
  <c r="B23" i="19"/>
  <c r="B24" i="19"/>
  <c r="B25" i="19"/>
  <c r="B26" i="19"/>
  <c r="B28" i="19"/>
  <c r="B29" i="19"/>
  <c r="B30" i="19"/>
  <c r="B31" i="19"/>
  <c r="B32" i="19"/>
  <c r="B33" i="19"/>
  <c r="B34" i="19"/>
  <c r="C38" i="19"/>
  <c r="H35" i="20"/>
  <c r="D35" i="20"/>
  <c r="C35" i="20"/>
  <c r="I34" i="20"/>
  <c r="I33" i="20"/>
  <c r="I32" i="20"/>
  <c r="I31" i="20"/>
  <c r="I30" i="20"/>
  <c r="I29" i="20"/>
  <c r="I28" i="20"/>
  <c r="I35" i="20"/>
  <c r="H27" i="20"/>
  <c r="D27" i="20"/>
  <c r="C27" i="20"/>
  <c r="I26" i="20"/>
  <c r="I25" i="20"/>
  <c r="I24" i="20"/>
  <c r="I23" i="20"/>
  <c r="I22" i="20"/>
  <c r="I21" i="20"/>
  <c r="I20" i="20"/>
  <c r="I27" i="20"/>
  <c r="D19" i="20"/>
  <c r="C19" i="20"/>
  <c r="I18" i="20"/>
  <c r="I17" i="20"/>
  <c r="I16" i="20"/>
  <c r="I15" i="20"/>
  <c r="I14" i="20"/>
  <c r="I13" i="20"/>
  <c r="I12" i="20"/>
  <c r="I19" i="20"/>
  <c r="H36" i="20"/>
  <c r="D11" i="20"/>
  <c r="C11" i="20"/>
  <c r="I10" i="20"/>
  <c r="I9" i="20"/>
  <c r="I8" i="20"/>
  <c r="I7" i="20"/>
  <c r="I6" i="20"/>
  <c r="I5" i="20"/>
  <c r="I4" i="20"/>
  <c r="I11" i="20"/>
  <c r="B4" i="20"/>
  <c r="B5" i="20"/>
  <c r="B6" i="20"/>
  <c r="B7" i="20"/>
  <c r="B8" i="20"/>
  <c r="B9" i="20"/>
  <c r="B10" i="20"/>
  <c r="B12" i="20"/>
  <c r="B13" i="20"/>
  <c r="B14" i="20"/>
  <c r="B15" i="20"/>
  <c r="B16" i="20"/>
  <c r="B17" i="20"/>
  <c r="B18" i="20"/>
  <c r="B20" i="20"/>
  <c r="B21" i="20"/>
  <c r="B22" i="20"/>
  <c r="B23" i="20"/>
  <c r="B24" i="20"/>
  <c r="B25" i="20"/>
  <c r="B26" i="20"/>
  <c r="B28" i="20"/>
  <c r="B29" i="20"/>
  <c r="B30" i="20"/>
  <c r="B31" i="20"/>
  <c r="B32" i="20"/>
  <c r="B33" i="20"/>
  <c r="B34" i="20"/>
  <c r="C38" i="20"/>
  <c r="H36" i="21"/>
  <c r="D36" i="21"/>
  <c r="C36" i="21"/>
  <c r="I35" i="21"/>
  <c r="I31" i="21"/>
  <c r="I36" i="21"/>
  <c r="H27" i="21"/>
  <c r="D27" i="21"/>
  <c r="C27" i="21"/>
  <c r="I20" i="21"/>
  <c r="I27" i="21"/>
  <c r="H19" i="21"/>
  <c r="D19" i="21"/>
  <c r="C19" i="21"/>
  <c r="I18" i="21"/>
  <c r="I17" i="21"/>
  <c r="I16" i="21"/>
  <c r="I15" i="21"/>
  <c r="I14" i="21"/>
  <c r="I13" i="21"/>
  <c r="I12" i="21"/>
  <c r="I19" i="21"/>
  <c r="H11" i="21"/>
  <c r="D11" i="21"/>
  <c r="C11" i="21"/>
  <c r="I10" i="21"/>
  <c r="I9" i="21"/>
  <c r="I8" i="21"/>
  <c r="I7" i="21"/>
  <c r="I6" i="21"/>
  <c r="I5" i="21"/>
  <c r="I4" i="21"/>
  <c r="I11" i="21"/>
  <c r="B4" i="21"/>
  <c r="B5" i="21"/>
  <c r="B6" i="21"/>
  <c r="B7" i="21"/>
  <c r="B8" i="21"/>
  <c r="B9" i="21"/>
  <c r="B10" i="21"/>
  <c r="B12" i="21"/>
  <c r="B13" i="21"/>
  <c r="B14" i="21"/>
  <c r="B15" i="21"/>
  <c r="B16" i="21"/>
  <c r="B17" i="21"/>
  <c r="B18" i="21"/>
  <c r="B20" i="21"/>
  <c r="B21" i="21"/>
  <c r="B22" i="21"/>
  <c r="B23" i="21"/>
  <c r="B24" i="21"/>
  <c r="B25" i="21"/>
  <c r="B26" i="21"/>
  <c r="B28" i="21"/>
  <c r="B29" i="21"/>
  <c r="B30" i="21"/>
  <c r="B31" i="21"/>
  <c r="B32" i="21"/>
  <c r="B33" i="21"/>
  <c r="B35" i="21"/>
  <c r="C39" i="21"/>
  <c r="H35" i="22"/>
  <c r="H36" i="22"/>
  <c r="D35" i="22"/>
  <c r="C35" i="22"/>
  <c r="I34" i="22"/>
  <c r="I33" i="22"/>
  <c r="I32" i="22"/>
  <c r="I31" i="22"/>
  <c r="I30" i="22"/>
  <c r="I29" i="22"/>
  <c r="I28" i="22"/>
  <c r="I35" i="22"/>
  <c r="H27" i="22"/>
  <c r="D27" i="22"/>
  <c r="C27" i="22"/>
  <c r="I26" i="22"/>
  <c r="I25" i="22"/>
  <c r="I24" i="22"/>
  <c r="I23" i="22"/>
  <c r="I22" i="22"/>
  <c r="I21" i="22"/>
  <c r="I20" i="22"/>
  <c r="I27" i="22"/>
  <c r="H19" i="22"/>
  <c r="D19" i="22"/>
  <c r="C19" i="22"/>
  <c r="I18" i="22"/>
  <c r="I17" i="22"/>
  <c r="I16" i="22"/>
  <c r="I15" i="22"/>
  <c r="I14" i="22"/>
  <c r="I13" i="22"/>
  <c r="I12" i="22"/>
  <c r="I19" i="22"/>
  <c r="H11" i="22"/>
  <c r="D11" i="22"/>
  <c r="C11" i="22"/>
  <c r="I10" i="22"/>
  <c r="I9" i="22"/>
  <c r="I8" i="22"/>
  <c r="I7" i="22"/>
  <c r="I6" i="22"/>
  <c r="I5" i="22"/>
  <c r="I4" i="22"/>
  <c r="I11" i="22"/>
  <c r="B4" i="22"/>
  <c r="B5" i="22"/>
  <c r="B6" i="22"/>
  <c r="B7" i="22"/>
  <c r="B8" i="22"/>
  <c r="B9" i="22"/>
  <c r="B10" i="22"/>
  <c r="B12" i="22"/>
  <c r="B13" i="22"/>
  <c r="B14" i="22"/>
  <c r="B15" i="22"/>
  <c r="B16" i="22"/>
  <c r="B17" i="22"/>
  <c r="B18" i="22"/>
  <c r="B20" i="22"/>
  <c r="B21" i="22"/>
  <c r="B22" i="22"/>
  <c r="B23" i="22"/>
  <c r="B24" i="22"/>
  <c r="B25" i="22"/>
  <c r="B26" i="22"/>
  <c r="B28" i="22"/>
  <c r="B29" i="22"/>
  <c r="B30" i="22"/>
  <c r="B31" i="22"/>
  <c r="B32" i="22"/>
  <c r="B33" i="22"/>
  <c r="B34" i="22"/>
  <c r="C38" i="22"/>
  <c r="D35" i="23"/>
  <c r="C35" i="23"/>
  <c r="I34" i="23"/>
  <c r="I33" i="23"/>
  <c r="I32" i="23"/>
  <c r="I31" i="23"/>
  <c r="I30" i="23"/>
  <c r="I29" i="23"/>
  <c r="I28" i="23"/>
  <c r="I35" i="23"/>
  <c r="D27" i="23"/>
  <c r="C27" i="23"/>
  <c r="I26" i="23"/>
  <c r="I25" i="23"/>
  <c r="I24" i="23"/>
  <c r="I23" i="23"/>
  <c r="I22" i="23"/>
  <c r="I21" i="23"/>
  <c r="I20" i="23"/>
  <c r="I27" i="23"/>
  <c r="D19" i="23"/>
  <c r="C19" i="23"/>
  <c r="I18" i="23"/>
  <c r="I17" i="23"/>
  <c r="I16" i="23"/>
  <c r="I15" i="23"/>
  <c r="I14" i="23"/>
  <c r="I13" i="23"/>
  <c r="I12" i="23"/>
  <c r="I19" i="23"/>
  <c r="H11" i="23"/>
  <c r="H36" i="23" s="1"/>
  <c r="D11" i="23"/>
  <c r="C11" i="23"/>
  <c r="I10" i="23"/>
  <c r="I9" i="23"/>
  <c r="I8" i="23"/>
  <c r="I7" i="23"/>
  <c r="I6" i="23"/>
  <c r="I5" i="23"/>
  <c r="I4" i="23"/>
  <c r="I11" i="23"/>
  <c r="B4" i="23"/>
  <c r="B5" i="23"/>
  <c r="B6" i="23"/>
  <c r="B7" i="23"/>
  <c r="B8" i="23"/>
  <c r="B9" i="23"/>
  <c r="B10" i="23"/>
  <c r="B12" i="23"/>
  <c r="B13" i="23"/>
  <c r="B14" i="23"/>
  <c r="B15" i="23"/>
  <c r="B16" i="23"/>
  <c r="B17" i="23"/>
  <c r="B18" i="23"/>
  <c r="B20" i="23"/>
  <c r="B21" i="23"/>
  <c r="B22" i="23"/>
  <c r="B23" i="23"/>
  <c r="B24" i="23"/>
  <c r="B25" i="23"/>
  <c r="B26" i="23"/>
  <c r="B28" i="23"/>
  <c r="B29" i="23"/>
  <c r="B30" i="23"/>
  <c r="B31" i="23"/>
  <c r="B32" i="23"/>
  <c r="B33" i="23"/>
  <c r="B34" i="23"/>
  <c r="C38" i="23"/>
  <c r="H35" i="24"/>
  <c r="D35" i="24"/>
  <c r="C35" i="24"/>
  <c r="I34" i="24"/>
  <c r="I33" i="24"/>
  <c r="I32" i="24"/>
  <c r="I31" i="24"/>
  <c r="I30" i="24"/>
  <c r="I29" i="24"/>
  <c r="I28" i="24"/>
  <c r="H27" i="24"/>
  <c r="D27" i="24"/>
  <c r="C27" i="24"/>
  <c r="I26" i="24"/>
  <c r="I25" i="24"/>
  <c r="I24" i="24"/>
  <c r="I23" i="24"/>
  <c r="I22" i="24"/>
  <c r="I21" i="24"/>
  <c r="I20" i="24"/>
  <c r="H19" i="24"/>
  <c r="D19" i="24"/>
  <c r="C19" i="24"/>
  <c r="C36" i="24" s="1"/>
  <c r="C37" i="24" s="1"/>
  <c r="I18" i="24"/>
  <c r="I17" i="24"/>
  <c r="I16" i="24"/>
  <c r="I15" i="24"/>
  <c r="I14" i="24"/>
  <c r="I13" i="24"/>
  <c r="I12" i="24"/>
  <c r="H11" i="24"/>
  <c r="D11" i="24"/>
  <c r="C11" i="24"/>
  <c r="I10" i="24"/>
  <c r="I9" i="24"/>
  <c r="I8" i="24"/>
  <c r="I7" i="24"/>
  <c r="I6" i="24"/>
  <c r="I5" i="24"/>
  <c r="I4" i="24"/>
  <c r="B4" i="24"/>
  <c r="B5" i="24"/>
  <c r="B6" i="24"/>
  <c r="B7" i="24"/>
  <c r="B8" i="24"/>
  <c r="B9" i="24"/>
  <c r="B10" i="24"/>
  <c r="B12" i="24"/>
  <c r="B13" i="24"/>
  <c r="B14" i="24"/>
  <c r="B15" i="24"/>
  <c r="B16" i="24"/>
  <c r="B17" i="24"/>
  <c r="B18" i="24"/>
  <c r="B20" i="24"/>
  <c r="B21" i="24"/>
  <c r="B22" i="24"/>
  <c r="B23" i="24"/>
  <c r="B24" i="24"/>
  <c r="B25" i="24"/>
  <c r="B26" i="24"/>
  <c r="B28" i="24"/>
  <c r="B29" i="24"/>
  <c r="B30" i="24"/>
  <c r="B31" i="24"/>
  <c r="B32" i="24"/>
  <c r="B33" i="24"/>
  <c r="B34" i="24"/>
  <c r="C38" i="24"/>
  <c r="H35" i="25"/>
  <c r="H36" i="25"/>
  <c r="D35" i="25"/>
  <c r="C35" i="25"/>
  <c r="I34" i="25"/>
  <c r="I33" i="25"/>
  <c r="I32" i="25"/>
  <c r="I31" i="25"/>
  <c r="I30" i="25"/>
  <c r="I29" i="25"/>
  <c r="I28" i="25"/>
  <c r="I35" i="25"/>
  <c r="H27" i="25"/>
  <c r="D27" i="25"/>
  <c r="C27" i="25"/>
  <c r="I26" i="25"/>
  <c r="I25" i="25"/>
  <c r="I24" i="25"/>
  <c r="I23" i="25"/>
  <c r="I22" i="25"/>
  <c r="I21" i="25"/>
  <c r="I20" i="25"/>
  <c r="I27" i="25"/>
  <c r="H19" i="25"/>
  <c r="D19" i="25"/>
  <c r="C19" i="25"/>
  <c r="I18" i="25"/>
  <c r="I17" i="25"/>
  <c r="I16" i="25"/>
  <c r="I15" i="25"/>
  <c r="I14" i="25"/>
  <c r="I13" i="25"/>
  <c r="I12" i="25"/>
  <c r="I19" i="25"/>
  <c r="H11" i="25"/>
  <c r="D11" i="25"/>
  <c r="C11" i="25"/>
  <c r="I10" i="25"/>
  <c r="I9" i="25"/>
  <c r="I8" i="25"/>
  <c r="I7" i="25"/>
  <c r="I6" i="25"/>
  <c r="I5" i="25"/>
  <c r="I4" i="25"/>
  <c r="I11" i="25"/>
  <c r="B4" i="25"/>
  <c r="B5" i="25"/>
  <c r="B6" i="25"/>
  <c r="B7" i="25"/>
  <c r="B8" i="25"/>
  <c r="B9" i="25"/>
  <c r="B10" i="25"/>
  <c r="B12" i="25"/>
  <c r="B13" i="25"/>
  <c r="B14" i="25"/>
  <c r="B15" i="25"/>
  <c r="B16" i="25"/>
  <c r="B17" i="25"/>
  <c r="B18" i="25"/>
  <c r="B20" i="25"/>
  <c r="B21" i="25"/>
  <c r="B22" i="25"/>
  <c r="B23" i="25"/>
  <c r="B24" i="25"/>
  <c r="B25" i="25"/>
  <c r="B26" i="25"/>
  <c r="B28" i="25"/>
  <c r="B29" i="25"/>
  <c r="B30" i="25"/>
  <c r="B31" i="25"/>
  <c r="B32" i="25"/>
  <c r="B33" i="25"/>
  <c r="B34" i="25"/>
  <c r="C38" i="25"/>
  <c r="H35" i="3"/>
  <c r="D35" i="3"/>
  <c r="C35" i="3"/>
  <c r="I34" i="3"/>
  <c r="I33" i="3"/>
  <c r="I32" i="3"/>
  <c r="I31" i="3"/>
  <c r="I30" i="3"/>
  <c r="I29" i="3"/>
  <c r="I35" i="3"/>
  <c r="H27" i="3"/>
  <c r="D27" i="3"/>
  <c r="C27" i="3"/>
  <c r="I26" i="3"/>
  <c r="I25" i="3"/>
  <c r="I24" i="3"/>
  <c r="I23" i="3"/>
  <c r="I22" i="3"/>
  <c r="I21" i="3"/>
  <c r="I20" i="3"/>
  <c r="I27" i="3"/>
  <c r="H19" i="3"/>
  <c r="D19" i="3"/>
  <c r="C19" i="3"/>
  <c r="I18" i="3"/>
  <c r="I17" i="3"/>
  <c r="I16" i="3"/>
  <c r="I15" i="3"/>
  <c r="I14" i="3"/>
  <c r="I13" i="3"/>
  <c r="I12" i="3"/>
  <c r="I19" i="3"/>
  <c r="H11" i="3"/>
  <c r="D11" i="3"/>
  <c r="C11" i="3"/>
  <c r="I10" i="3"/>
  <c r="I9" i="3"/>
  <c r="I8" i="3"/>
  <c r="I7" i="3"/>
  <c r="I6" i="3"/>
  <c r="I5" i="3"/>
  <c r="I4" i="3"/>
  <c r="I11" i="3"/>
  <c r="B4" i="3"/>
  <c r="B5" i="3"/>
  <c r="B6" i="3"/>
  <c r="B7" i="3"/>
  <c r="B8" i="3"/>
  <c r="B9" i="3"/>
  <c r="B10" i="3"/>
  <c r="B12" i="3"/>
  <c r="B13" i="3"/>
  <c r="B14" i="3"/>
  <c r="B15" i="3"/>
  <c r="B16" i="3"/>
  <c r="B17" i="3"/>
  <c r="B18" i="3"/>
  <c r="B20" i="3"/>
  <c r="B21" i="3"/>
  <c r="B22" i="3"/>
  <c r="B23" i="3"/>
  <c r="B24" i="3"/>
  <c r="B25" i="3"/>
  <c r="B26" i="3"/>
  <c r="B28" i="3"/>
  <c r="B29" i="3"/>
  <c r="B30" i="3"/>
  <c r="B31" i="3"/>
  <c r="B32" i="3"/>
  <c r="B33" i="3"/>
  <c r="B34" i="3"/>
  <c r="H35" i="1"/>
  <c r="I34" i="1"/>
  <c r="I33" i="1"/>
  <c r="I32" i="1"/>
  <c r="I31" i="1"/>
  <c r="I30" i="1"/>
  <c r="I29" i="1"/>
  <c r="I28" i="1"/>
  <c r="I35" i="1"/>
  <c r="H27" i="1"/>
  <c r="I26" i="1"/>
  <c r="I25" i="1"/>
  <c r="I24" i="1"/>
  <c r="I23" i="1"/>
  <c r="I22" i="1"/>
  <c r="I21" i="1"/>
  <c r="I20" i="1"/>
  <c r="I27" i="1"/>
  <c r="H19" i="1"/>
  <c r="I18" i="1"/>
  <c r="I17" i="1"/>
  <c r="I16" i="1"/>
  <c r="I15" i="1"/>
  <c r="I14" i="1"/>
  <c r="I13" i="1"/>
  <c r="I12" i="1"/>
  <c r="I19" i="1"/>
  <c r="H11" i="1"/>
  <c r="I10" i="1"/>
  <c r="I9" i="1"/>
  <c r="I8" i="1"/>
  <c r="I7" i="1"/>
  <c r="I6" i="1"/>
  <c r="I5" i="1"/>
  <c r="I4" i="1"/>
  <c r="B4" i="1"/>
  <c r="D35" i="1"/>
  <c r="C35" i="1"/>
  <c r="D27" i="1"/>
  <c r="C27" i="1"/>
  <c r="D19" i="1"/>
  <c r="C19" i="1"/>
  <c r="C11" i="1"/>
  <c r="D11" i="1"/>
  <c r="I27" i="10"/>
  <c r="I19" i="10"/>
  <c r="I36" i="10"/>
  <c r="H36" i="10"/>
  <c r="H36" i="8"/>
  <c r="D124" i="25"/>
  <c r="H124" i="25"/>
  <c r="I168" i="25"/>
  <c r="C168" i="25"/>
  <c r="D168" i="25"/>
  <c r="C169" i="25"/>
  <c r="H168" i="25"/>
  <c r="I212" i="25"/>
  <c r="C212" i="25"/>
  <c r="D212" i="25"/>
  <c r="C213" i="25"/>
  <c r="H212" i="25"/>
  <c r="C124" i="24"/>
  <c r="C125" i="24" s="1"/>
  <c r="D124" i="24"/>
  <c r="H124" i="24"/>
  <c r="I168" i="24"/>
  <c r="C168" i="24"/>
  <c r="D168" i="24"/>
  <c r="C169" i="24"/>
  <c r="H168" i="24"/>
  <c r="I212" i="24"/>
  <c r="C212" i="24"/>
  <c r="D212" i="24"/>
  <c r="C213" i="24"/>
  <c r="H212" i="24"/>
  <c r="I80" i="23"/>
  <c r="C80" i="23"/>
  <c r="D80" i="23"/>
  <c r="C81" i="23"/>
  <c r="H80" i="23"/>
  <c r="C124" i="23"/>
  <c r="D124" i="23"/>
  <c r="C125" i="23"/>
  <c r="I168" i="23"/>
  <c r="C168" i="23"/>
  <c r="D168" i="23"/>
  <c r="C169" i="23"/>
  <c r="H168" i="23"/>
  <c r="I212" i="23"/>
  <c r="C212" i="23"/>
  <c r="D212" i="23"/>
  <c r="C213" i="23"/>
  <c r="H212" i="23"/>
  <c r="C80" i="22"/>
  <c r="D80" i="22"/>
  <c r="C81" i="22"/>
  <c r="C124" i="22"/>
  <c r="D124" i="22"/>
  <c r="C125" i="22" s="1"/>
  <c r="H124" i="22"/>
  <c r="I168" i="22"/>
  <c r="C168" i="22"/>
  <c r="D168" i="22"/>
  <c r="C169" i="22"/>
  <c r="H168" i="22"/>
  <c r="I212" i="22"/>
  <c r="C212" i="22"/>
  <c r="D212" i="22"/>
  <c r="C213" i="22"/>
  <c r="H212" i="22"/>
  <c r="C81" i="21"/>
  <c r="D81" i="21"/>
  <c r="C82" i="21"/>
  <c r="C125" i="21"/>
  <c r="D125" i="21"/>
  <c r="C126" i="21" s="1"/>
  <c r="H125" i="21"/>
  <c r="I169" i="21"/>
  <c r="C169" i="21"/>
  <c r="D169" i="21"/>
  <c r="C170" i="21"/>
  <c r="H169" i="21"/>
  <c r="I213" i="21"/>
  <c r="C213" i="21"/>
  <c r="D213" i="21"/>
  <c r="C214" i="21"/>
  <c r="H213" i="21"/>
  <c r="C80" i="20"/>
  <c r="C81" i="20" s="1"/>
  <c r="D80" i="20"/>
  <c r="H80" i="20"/>
  <c r="C124" i="20"/>
  <c r="C125" i="20" s="1"/>
  <c r="D124" i="20"/>
  <c r="H124" i="20"/>
  <c r="I168" i="20"/>
  <c r="C168" i="20"/>
  <c r="D168" i="20"/>
  <c r="C169" i="20"/>
  <c r="H168" i="20"/>
  <c r="I212" i="20"/>
  <c r="C212" i="20"/>
  <c r="D212" i="20"/>
  <c r="C213" i="20"/>
  <c r="H212" i="20"/>
  <c r="I80" i="19"/>
  <c r="C80" i="19"/>
  <c r="D80" i="19"/>
  <c r="C81" i="19"/>
  <c r="H80" i="19"/>
  <c r="H124" i="19"/>
  <c r="I168" i="19"/>
  <c r="C168" i="19"/>
  <c r="D168" i="19"/>
  <c r="C169" i="19"/>
  <c r="H168" i="19"/>
  <c r="I212" i="19"/>
  <c r="C212" i="19"/>
  <c r="D212" i="19"/>
  <c r="C213" i="19"/>
  <c r="H212" i="19"/>
  <c r="I80" i="18"/>
  <c r="C80" i="18"/>
  <c r="D80" i="18"/>
  <c r="C81" i="18"/>
  <c r="H80" i="18"/>
  <c r="C124" i="18"/>
  <c r="D124" i="18"/>
  <c r="C125" i="18" s="1"/>
  <c r="H124" i="18"/>
  <c r="I168" i="18"/>
  <c r="C168" i="18"/>
  <c r="D168" i="18"/>
  <c r="C169" i="18"/>
  <c r="H168" i="18"/>
  <c r="I212" i="18"/>
  <c r="C212" i="18"/>
  <c r="D212" i="18"/>
  <c r="C213" i="18"/>
  <c r="H212" i="18"/>
  <c r="C80" i="17"/>
  <c r="D80" i="17"/>
  <c r="C81" i="17"/>
  <c r="H80" i="17"/>
  <c r="C124" i="17"/>
  <c r="C125" i="17" s="1"/>
  <c r="D124" i="17"/>
  <c r="H124" i="17"/>
  <c r="I168" i="17"/>
  <c r="C168" i="17"/>
  <c r="D168" i="17"/>
  <c r="C169" i="17"/>
  <c r="H168" i="17"/>
  <c r="I212" i="17"/>
  <c r="C212" i="17"/>
  <c r="D212" i="17"/>
  <c r="C213" i="17"/>
  <c r="H212" i="17"/>
  <c r="I80" i="16"/>
  <c r="C80" i="16"/>
  <c r="D80" i="16"/>
  <c r="C81" i="16"/>
  <c r="H80" i="16"/>
  <c r="C124" i="16"/>
  <c r="C125" i="16" s="1"/>
  <c r="D124" i="16"/>
  <c r="H124" i="16"/>
  <c r="I168" i="16"/>
  <c r="C168" i="16"/>
  <c r="D168" i="16"/>
  <c r="C169" i="16"/>
  <c r="H168" i="16"/>
  <c r="I212" i="16"/>
  <c r="C212" i="16"/>
  <c r="D212" i="16"/>
  <c r="C213" i="16"/>
  <c r="H212" i="16"/>
  <c r="C80" i="15"/>
  <c r="D80" i="15"/>
  <c r="C81" i="15"/>
  <c r="H80" i="15"/>
  <c r="C124" i="15"/>
  <c r="C125" i="15" s="1"/>
  <c r="D124" i="15"/>
  <c r="H124" i="15"/>
  <c r="I168" i="15"/>
  <c r="C168" i="15"/>
  <c r="D168" i="15"/>
  <c r="C169" i="15"/>
  <c r="H168" i="15"/>
  <c r="I212" i="15"/>
  <c r="C212" i="15"/>
  <c r="D212" i="15"/>
  <c r="C213" i="15"/>
  <c r="H212" i="15"/>
  <c r="I80" i="14"/>
  <c r="C80" i="14"/>
  <c r="D80" i="14"/>
  <c r="C81" i="14"/>
  <c r="H80" i="14"/>
  <c r="C124" i="14"/>
  <c r="C125" i="14" s="1"/>
  <c r="D124" i="14"/>
  <c r="I168" i="14"/>
  <c r="C168" i="14"/>
  <c r="D168" i="14"/>
  <c r="C169" i="14"/>
  <c r="H168" i="14"/>
  <c r="I212" i="14"/>
  <c r="C212" i="14"/>
  <c r="D212" i="14"/>
  <c r="C213" i="14"/>
  <c r="H212" i="14"/>
  <c r="C80" i="13"/>
  <c r="D80" i="13"/>
  <c r="C81" i="13"/>
  <c r="C124" i="13"/>
  <c r="D124" i="13"/>
  <c r="C125" i="13" s="1"/>
  <c r="H124" i="13"/>
  <c r="I168" i="13"/>
  <c r="C168" i="13"/>
  <c r="D168" i="13"/>
  <c r="C169" i="13"/>
  <c r="H168" i="13"/>
  <c r="I212" i="13"/>
  <c r="C212" i="13"/>
  <c r="D212" i="13"/>
  <c r="C213" i="13"/>
  <c r="H212" i="13"/>
  <c r="D80" i="12"/>
  <c r="D124" i="12"/>
  <c r="D168" i="12"/>
  <c r="H212" i="12"/>
  <c r="I80" i="11"/>
  <c r="C80" i="11"/>
  <c r="D80" i="11"/>
  <c r="C81" i="11"/>
  <c r="H80" i="11"/>
  <c r="C124" i="11"/>
  <c r="D124" i="11"/>
  <c r="C125" i="11"/>
  <c r="I168" i="11"/>
  <c r="C168" i="11"/>
  <c r="D168" i="11"/>
  <c r="C169" i="11"/>
  <c r="H168" i="11"/>
  <c r="I212" i="11"/>
  <c r="C212" i="11"/>
  <c r="D212" i="11"/>
  <c r="C213" i="11"/>
  <c r="H212" i="11"/>
  <c r="I80" i="10"/>
  <c r="C80" i="10"/>
  <c r="D80" i="10"/>
  <c r="H80" i="10"/>
  <c r="C124" i="10"/>
  <c r="D124" i="10"/>
  <c r="C125" i="10" s="1"/>
  <c r="H124" i="10"/>
  <c r="I168" i="10"/>
  <c r="C168" i="10"/>
  <c r="D168" i="10"/>
  <c r="C169" i="10"/>
  <c r="H168" i="10"/>
  <c r="I212" i="10"/>
  <c r="C212" i="10"/>
  <c r="D212" i="10"/>
  <c r="C213" i="10"/>
  <c r="H212" i="10"/>
  <c r="C80" i="8"/>
  <c r="D80" i="8"/>
  <c r="C81" i="8"/>
  <c r="H80" i="8"/>
  <c r="C124" i="8"/>
  <c r="D124" i="8"/>
  <c r="C125" i="8"/>
  <c r="I168" i="8"/>
  <c r="C168" i="8"/>
  <c r="D168" i="8"/>
  <c r="C169" i="8"/>
  <c r="H168" i="8"/>
  <c r="I212" i="8"/>
  <c r="C212" i="8"/>
  <c r="D212" i="8"/>
  <c r="C213" i="8"/>
  <c r="H212" i="8"/>
  <c r="C80" i="9"/>
  <c r="D80" i="9"/>
  <c r="C81" i="9"/>
  <c r="C124" i="9"/>
  <c r="C125" i="9" s="1"/>
  <c r="D124" i="9"/>
  <c r="I168" i="9"/>
  <c r="C168" i="9"/>
  <c r="D168" i="9"/>
  <c r="C169" i="9"/>
  <c r="H168" i="9"/>
  <c r="I212" i="9"/>
  <c r="C212" i="9"/>
  <c r="D212" i="9"/>
  <c r="C213" i="9"/>
  <c r="H212" i="9"/>
  <c r="C80" i="7"/>
  <c r="C124" i="7"/>
  <c r="D124" i="7"/>
  <c r="C125" i="7" s="1"/>
  <c r="H124" i="7"/>
  <c r="I168" i="7"/>
  <c r="C168" i="7"/>
  <c r="D168" i="7"/>
  <c r="C169" i="7"/>
  <c r="H168" i="7"/>
  <c r="I212" i="7"/>
  <c r="C212" i="7"/>
  <c r="D212" i="7"/>
  <c r="C213" i="7"/>
  <c r="H212" i="7"/>
  <c r="D80" i="6"/>
  <c r="H80" i="6"/>
  <c r="C124" i="6"/>
  <c r="C125" i="6" s="1"/>
  <c r="D124" i="6"/>
  <c r="H124" i="6"/>
  <c r="I168" i="6"/>
  <c r="C168" i="6"/>
  <c r="D168" i="6"/>
  <c r="C169" i="6"/>
  <c r="H168" i="6"/>
  <c r="I212" i="6"/>
  <c r="C212" i="6"/>
  <c r="D212" i="6"/>
  <c r="C213" i="6"/>
  <c r="H212" i="6"/>
  <c r="I80" i="5"/>
  <c r="C80" i="5"/>
  <c r="D80" i="5"/>
  <c r="C81" i="5"/>
  <c r="H80" i="5"/>
  <c r="C124" i="5"/>
  <c r="D124" i="5"/>
  <c r="C125" i="5" s="1"/>
  <c r="I168" i="5"/>
  <c r="C168" i="5"/>
  <c r="D168" i="5"/>
  <c r="C169" i="5"/>
  <c r="H168" i="5"/>
  <c r="I212" i="5"/>
  <c r="C212" i="5"/>
  <c r="D212" i="5"/>
  <c r="C213" i="5"/>
  <c r="H212" i="5"/>
  <c r="I80" i="4"/>
  <c r="C80" i="4"/>
  <c r="D80" i="4"/>
  <c r="C81" i="4"/>
  <c r="H80" i="4"/>
  <c r="C124" i="4"/>
  <c r="D124" i="4"/>
  <c r="C125" i="4"/>
  <c r="H124" i="4"/>
  <c r="I168" i="4"/>
  <c r="C168" i="4"/>
  <c r="D168" i="4"/>
  <c r="C169" i="4"/>
  <c r="H168" i="4"/>
  <c r="I212" i="4"/>
  <c r="C212" i="4"/>
  <c r="D212" i="4"/>
  <c r="C213" i="4"/>
  <c r="H212" i="4"/>
  <c r="I80" i="3"/>
  <c r="C80" i="3"/>
  <c r="D80" i="3"/>
  <c r="H80" i="3"/>
  <c r="C124" i="3"/>
  <c r="C125" i="3" s="1"/>
  <c r="D124" i="3"/>
  <c r="I168" i="3"/>
  <c r="C168" i="3"/>
  <c r="D168" i="3"/>
  <c r="C169" i="3"/>
  <c r="H168" i="3"/>
  <c r="I212" i="3"/>
  <c r="C212" i="3"/>
  <c r="D212" i="3"/>
  <c r="C213" i="3"/>
  <c r="H212" i="3"/>
  <c r="I212" i="1"/>
  <c r="C212" i="1"/>
  <c r="D212" i="1"/>
  <c r="C213" i="1"/>
  <c r="H212" i="1"/>
  <c r="I168" i="1"/>
  <c r="C168" i="1"/>
  <c r="D168" i="1"/>
  <c r="C169" i="1"/>
  <c r="H168" i="1"/>
  <c r="C124" i="1"/>
  <c r="D124" i="1"/>
  <c r="C125" i="1" s="1"/>
  <c r="C80" i="1"/>
  <c r="D80" i="1"/>
  <c r="C81" i="1" s="1"/>
  <c r="H37" i="21"/>
  <c r="D36" i="20"/>
  <c r="C36" i="20"/>
  <c r="H36" i="3"/>
  <c r="D36" i="24"/>
  <c r="D36" i="8"/>
  <c r="D36" i="9"/>
  <c r="C36" i="9"/>
  <c r="C36" i="14"/>
  <c r="C36" i="18"/>
  <c r="D37" i="21"/>
  <c r="C37" i="21"/>
  <c r="D36" i="17"/>
  <c r="C36" i="17"/>
  <c r="D36" i="13"/>
  <c r="C36" i="13"/>
  <c r="D36" i="11"/>
  <c r="C36" i="11"/>
  <c r="H36" i="19"/>
  <c r="I19" i="19"/>
  <c r="I11" i="19"/>
  <c r="D36" i="10"/>
  <c r="C36" i="10"/>
  <c r="D36" i="7"/>
  <c r="D36" i="22"/>
  <c r="C36" i="22"/>
  <c r="I27" i="19"/>
  <c r="D36" i="16"/>
  <c r="H36" i="4"/>
  <c r="C36" i="4"/>
  <c r="D36" i="4"/>
  <c r="H36" i="13"/>
  <c r="I11" i="1"/>
  <c r="I36" i="1"/>
  <c r="H36" i="18"/>
  <c r="D36" i="18"/>
  <c r="C36" i="19"/>
  <c r="D36" i="19"/>
  <c r="H36" i="6"/>
  <c r="D36" i="6"/>
  <c r="C36" i="6"/>
  <c r="C36" i="23"/>
  <c r="D36" i="23"/>
  <c r="C36" i="3"/>
  <c r="D36" i="3"/>
  <c r="D36" i="25"/>
  <c r="C36" i="25"/>
  <c r="I36" i="4"/>
  <c r="C37" i="6"/>
  <c r="I36" i="6"/>
  <c r="C37" i="8"/>
  <c r="I36" i="8"/>
  <c r="C37" i="9"/>
  <c r="I36" i="9"/>
  <c r="C37" i="10"/>
  <c r="C37" i="11"/>
  <c r="I36" i="11"/>
  <c r="C37" i="13"/>
  <c r="I36" i="13"/>
  <c r="C37" i="14"/>
  <c r="I36" i="14"/>
  <c r="C37" i="15"/>
  <c r="I36" i="15"/>
  <c r="I36" i="16"/>
  <c r="C37" i="17"/>
  <c r="I36" i="17"/>
  <c r="C37" i="18"/>
  <c r="I36" i="18"/>
  <c r="C37" i="20"/>
  <c r="I36" i="20"/>
  <c r="C38" i="21"/>
  <c r="I37" i="21"/>
  <c r="C37" i="22"/>
  <c r="I36" i="22"/>
  <c r="C37" i="23"/>
  <c r="I36" i="23"/>
  <c r="H37" i="23" s="1"/>
  <c r="C37" i="25"/>
  <c r="I36" i="25"/>
  <c r="C37" i="3"/>
  <c r="I36" i="3"/>
  <c r="H36" i="1"/>
  <c r="B5" i="1"/>
  <c r="D36" i="1"/>
  <c r="C36" i="1"/>
  <c r="I213" i="25"/>
  <c r="H213" i="25"/>
  <c r="I169" i="25"/>
  <c r="H169" i="25"/>
  <c r="I213" i="24"/>
  <c r="H213" i="24"/>
  <c r="I169" i="24"/>
  <c r="H169" i="24"/>
  <c r="I213" i="23"/>
  <c r="H213" i="23"/>
  <c r="I169" i="23"/>
  <c r="H169" i="23"/>
  <c r="I81" i="23"/>
  <c r="H81" i="23"/>
  <c r="I213" i="22"/>
  <c r="H213" i="22"/>
  <c r="I169" i="22"/>
  <c r="H169" i="22"/>
  <c r="I214" i="21"/>
  <c r="H214" i="21"/>
  <c r="I170" i="21"/>
  <c r="H170" i="21"/>
  <c r="I213" i="20"/>
  <c r="H213" i="20"/>
  <c r="I169" i="20"/>
  <c r="H169" i="20"/>
  <c r="I213" i="19"/>
  <c r="H213" i="19"/>
  <c r="I169" i="19"/>
  <c r="H169" i="19"/>
  <c r="I81" i="19"/>
  <c r="H81" i="19"/>
  <c r="I213" i="18"/>
  <c r="H213" i="18"/>
  <c r="I169" i="18"/>
  <c r="H169" i="18"/>
  <c r="I81" i="18"/>
  <c r="H81" i="18"/>
  <c r="I213" i="17"/>
  <c r="H213" i="17"/>
  <c r="I169" i="17"/>
  <c r="H169" i="17"/>
  <c r="I213" i="16"/>
  <c r="H213" i="16"/>
  <c r="I169" i="16"/>
  <c r="H169" i="16"/>
  <c r="I81" i="16"/>
  <c r="H81" i="16"/>
  <c r="I213" i="15"/>
  <c r="H213" i="15"/>
  <c r="I169" i="15"/>
  <c r="H169" i="15"/>
  <c r="I213" i="14"/>
  <c r="H213" i="14"/>
  <c r="I169" i="14"/>
  <c r="H169" i="14"/>
  <c r="I81" i="14"/>
  <c r="H81" i="14"/>
  <c r="I213" i="13"/>
  <c r="H213" i="13"/>
  <c r="I169" i="13"/>
  <c r="H169" i="13"/>
  <c r="I213" i="11"/>
  <c r="H213" i="11"/>
  <c r="I169" i="11"/>
  <c r="H169" i="11"/>
  <c r="I81" i="11"/>
  <c r="H81" i="11"/>
  <c r="I213" i="10"/>
  <c r="H213" i="10"/>
  <c r="I169" i="10"/>
  <c r="H169" i="10"/>
  <c r="I81" i="10"/>
  <c r="H81" i="10"/>
  <c r="I213" i="8"/>
  <c r="H213" i="8"/>
  <c r="I169" i="8"/>
  <c r="H169" i="8"/>
  <c r="I213" i="9"/>
  <c r="H213" i="9"/>
  <c r="I169" i="9"/>
  <c r="H169" i="9"/>
  <c r="I213" i="7"/>
  <c r="H213" i="7"/>
  <c r="I169" i="7"/>
  <c r="H169" i="7"/>
  <c r="I213" i="6"/>
  <c r="H213" i="6"/>
  <c r="I169" i="6"/>
  <c r="H169" i="6"/>
  <c r="I213" i="5"/>
  <c r="H213" i="5"/>
  <c r="I169" i="5"/>
  <c r="H169" i="5"/>
  <c r="I81" i="5"/>
  <c r="H81" i="5"/>
  <c r="I213" i="4"/>
  <c r="H213" i="4"/>
  <c r="I169" i="4"/>
  <c r="H169" i="4"/>
  <c r="I81" i="4"/>
  <c r="H81" i="4"/>
  <c r="I213" i="3"/>
  <c r="H213" i="3"/>
  <c r="I169" i="3"/>
  <c r="H169" i="3"/>
  <c r="I81" i="3"/>
  <c r="I213" i="1"/>
  <c r="H213" i="1"/>
  <c r="I169" i="1"/>
  <c r="H169" i="1"/>
  <c r="C37" i="19"/>
  <c r="I36" i="19"/>
  <c r="I37" i="19"/>
  <c r="I37" i="4"/>
  <c r="H37" i="4"/>
  <c r="I37" i="6"/>
  <c r="H37" i="6"/>
  <c r="I37" i="8"/>
  <c r="H37" i="8"/>
  <c r="I37" i="9"/>
  <c r="H37" i="9"/>
  <c r="I37" i="10"/>
  <c r="H37" i="10"/>
  <c r="I37" i="11"/>
  <c r="H37" i="11"/>
  <c r="I37" i="13"/>
  <c r="H37" i="13"/>
  <c r="I37" i="14"/>
  <c r="H37" i="14"/>
  <c r="I37" i="15"/>
  <c r="I37" i="16"/>
  <c r="H37" i="16"/>
  <c r="I37" i="17"/>
  <c r="H37" i="17"/>
  <c r="I37" i="18"/>
  <c r="H37" i="18"/>
  <c r="I37" i="20"/>
  <c r="H37" i="20"/>
  <c r="I38" i="21"/>
  <c r="H38" i="21"/>
  <c r="I37" i="22"/>
  <c r="H37" i="22"/>
  <c r="I37" i="23"/>
  <c r="I37" i="25"/>
  <c r="H37" i="25"/>
  <c r="I37" i="3"/>
  <c r="H37" i="3"/>
  <c r="I37" i="1"/>
  <c r="H37" i="1"/>
  <c r="B6" i="1"/>
  <c r="C37" i="1"/>
  <c r="H37" i="19"/>
  <c r="B7" i="1"/>
  <c r="B8" i="1"/>
  <c r="B9" i="1"/>
  <c r="B10" i="1"/>
  <c r="B12" i="1"/>
  <c r="B13" i="1"/>
  <c r="B14" i="1"/>
  <c r="B15" i="1"/>
  <c r="B16" i="1"/>
  <c r="B17" i="1"/>
  <c r="B18" i="1"/>
  <c r="B20" i="1"/>
  <c r="B21" i="1"/>
  <c r="B22" i="1"/>
  <c r="B23" i="1"/>
  <c r="B24" i="1"/>
  <c r="B25" i="1"/>
  <c r="B26" i="1"/>
  <c r="B28" i="1"/>
  <c r="B29" i="1"/>
  <c r="B30" i="1"/>
  <c r="B31" i="1"/>
  <c r="B32" i="1"/>
  <c r="B33" i="1"/>
  <c r="B34" i="1"/>
  <c r="C38" i="1"/>
  <c r="I125" i="16" l="1"/>
  <c r="H125" i="16"/>
  <c r="I125" i="20"/>
  <c r="H125" i="20"/>
  <c r="I99" i="23"/>
  <c r="I19" i="7"/>
  <c r="I36" i="7" s="1"/>
  <c r="I37" i="7" s="1"/>
  <c r="I99" i="4"/>
  <c r="I124" i="4" s="1"/>
  <c r="I99" i="19"/>
  <c r="I124" i="19" s="1"/>
  <c r="I99" i="14"/>
  <c r="I124" i="14" s="1"/>
  <c r="C37" i="7"/>
  <c r="I99" i="1"/>
  <c r="I124" i="1" s="1"/>
  <c r="I100" i="21"/>
  <c r="I125" i="21" s="1"/>
  <c r="I99" i="10"/>
  <c r="I124" i="10" s="1"/>
  <c r="I125" i="10" s="1"/>
  <c r="C124" i="12"/>
  <c r="C125" i="12" s="1"/>
  <c r="I99" i="3"/>
  <c r="I124" i="3" s="1"/>
  <c r="D80" i="7"/>
  <c r="C81" i="7" s="1"/>
  <c r="I99" i="18"/>
  <c r="I124" i="18" s="1"/>
  <c r="I124" i="23"/>
  <c r="I99" i="8"/>
  <c r="I124" i="8" s="1"/>
  <c r="C124" i="25"/>
  <c r="C125" i="25"/>
  <c r="I125" i="3"/>
  <c r="H125" i="3"/>
  <c r="I99" i="6"/>
  <c r="I124" i="6" s="1"/>
  <c r="H125" i="6" s="1"/>
  <c r="H125" i="10"/>
  <c r="I99" i="25"/>
  <c r="I124" i="25" s="1"/>
  <c r="I125" i="25" s="1"/>
  <c r="H124" i="12"/>
  <c r="I124" i="12"/>
  <c r="I125" i="12" s="1"/>
  <c r="I81" i="17"/>
  <c r="H81" i="17"/>
  <c r="H80" i="12"/>
  <c r="I80" i="15"/>
  <c r="I81" i="15" s="1"/>
  <c r="H81" i="9"/>
  <c r="I81" i="9"/>
  <c r="I81" i="8"/>
  <c r="H81" i="8"/>
  <c r="H125" i="8"/>
  <c r="I125" i="8"/>
  <c r="H125" i="24"/>
  <c r="I125" i="24"/>
  <c r="I212" i="12"/>
  <c r="I125" i="22"/>
  <c r="H125" i="22"/>
  <c r="I125" i="18"/>
  <c r="H125" i="18"/>
  <c r="C125" i="19"/>
  <c r="I126" i="21"/>
  <c r="H126" i="21"/>
  <c r="I125" i="13"/>
  <c r="H125" i="13"/>
  <c r="H125" i="23"/>
  <c r="I125" i="23"/>
  <c r="I125" i="19"/>
  <c r="H125" i="19"/>
  <c r="C213" i="12"/>
  <c r="I125" i="6"/>
  <c r="H125" i="15"/>
  <c r="I125" i="15"/>
  <c r="H125" i="17"/>
  <c r="I125" i="17"/>
  <c r="I125" i="1"/>
  <c r="H125" i="1"/>
  <c r="I125" i="4"/>
  <c r="H125" i="4"/>
  <c r="I168" i="12"/>
  <c r="H125" i="14"/>
  <c r="I125" i="14"/>
  <c r="H125" i="5"/>
  <c r="H125" i="7"/>
  <c r="I80" i="22"/>
  <c r="I81" i="22" s="1"/>
  <c r="H125" i="9"/>
  <c r="H125" i="11"/>
  <c r="D36" i="12"/>
  <c r="I71" i="12"/>
  <c r="I79" i="13"/>
  <c r="C80" i="25"/>
  <c r="C81" i="3"/>
  <c r="C81" i="6"/>
  <c r="I80" i="7"/>
  <c r="H80" i="7"/>
  <c r="D80" i="25"/>
  <c r="C81" i="25" s="1"/>
  <c r="C81" i="10"/>
  <c r="I81" i="21"/>
  <c r="H81" i="21"/>
  <c r="I80" i="24"/>
  <c r="H81" i="24" s="1"/>
  <c r="H80" i="24"/>
  <c r="I80" i="13"/>
  <c r="I81" i="13" s="1"/>
  <c r="H80" i="13"/>
  <c r="I71" i="25"/>
  <c r="H80" i="25"/>
  <c r="H81" i="7"/>
  <c r="I81" i="7"/>
  <c r="H81" i="6"/>
  <c r="I81" i="6"/>
  <c r="C81" i="24"/>
  <c r="H80" i="1"/>
  <c r="I80" i="1"/>
  <c r="I81" i="1"/>
  <c r="H81" i="3"/>
  <c r="H81" i="22"/>
  <c r="I81" i="20"/>
  <c r="H81" i="20"/>
  <c r="C81" i="12"/>
  <c r="I63" i="25"/>
  <c r="C37" i="12"/>
  <c r="I36" i="12"/>
  <c r="H36" i="12"/>
  <c r="H37" i="12" s="1"/>
  <c r="I35" i="24"/>
  <c r="I27" i="24"/>
  <c r="I19" i="24"/>
  <c r="H36" i="24"/>
  <c r="I11" i="24"/>
  <c r="I36" i="24"/>
  <c r="I37" i="12"/>
  <c r="I63" i="12"/>
  <c r="H37" i="7" l="1"/>
  <c r="H125" i="12"/>
  <c r="H125" i="25"/>
  <c r="I81" i="24"/>
  <c r="H82" i="21"/>
  <c r="I82" i="21"/>
  <c r="I213" i="12"/>
  <c r="H213" i="12"/>
  <c r="I80" i="12"/>
  <c r="I81" i="12" s="1"/>
  <c r="I169" i="12"/>
  <c r="H169" i="12"/>
  <c r="H81" i="13"/>
  <c r="H81" i="1"/>
  <c r="I80" i="25"/>
  <c r="I81" i="25" s="1"/>
  <c r="I37" i="24"/>
  <c r="H37" i="24"/>
  <c r="H81" i="12" l="1"/>
  <c r="H81" i="2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Dixie Stone</author>
  </authors>
  <commentList>
    <comment ref="H30" authorId="0" shapeId="0" xr:uid="{2F0086E1-83BC-47F0-BE48-B8880ACE6D4F}">
      <text>
        <r>
          <rPr>
            <sz val="11"/>
            <color theme="1"/>
            <rFont val="Aptos Narrow"/>
            <family val="2"/>
            <scheme val="minor"/>
          </rPr>
          <t>Dixie Stone:
SM accidently Paid in #3000 for change order to front POS system. Should only by $7 over.</t>
        </r>
      </text>
    </comment>
  </commentList>
</comments>
</file>

<file path=xl/sharedStrings.xml><?xml version="1.0" encoding="utf-8"?>
<sst xmlns="http://schemas.openxmlformats.org/spreadsheetml/2006/main" count="7684" uniqueCount="612">
  <si>
    <t>Anaheim</t>
  </si>
  <si>
    <t>Per Restaurant</t>
  </si>
  <si>
    <t xml:space="preserve">Chage Order Deposits </t>
  </si>
  <si>
    <t xml:space="preserve">Change Order Received 
</t>
  </si>
  <si>
    <t>Initials</t>
  </si>
  <si>
    <t>Comments</t>
  </si>
  <si>
    <t>Cash over/ (Short) per R365 Flash report</t>
  </si>
  <si>
    <t>True Over/ (Short)</t>
  </si>
  <si>
    <t>AR</t>
  </si>
  <si>
    <t>Prior Period 8 owed $1,100</t>
  </si>
  <si>
    <t>Ld</t>
  </si>
  <si>
    <t>Total Week</t>
  </si>
  <si>
    <t>Total Period</t>
  </si>
  <si>
    <t>Period Activity</t>
  </si>
  <si>
    <t>After Period Close</t>
  </si>
  <si>
    <t>Ending Period Count of Amount on hand</t>
  </si>
  <si>
    <t>Number of Cash Drawers</t>
  </si>
  <si>
    <t>Amount of Each Drawer</t>
  </si>
  <si>
    <t>Amount of Petty Cash</t>
  </si>
  <si>
    <t>Period10</t>
  </si>
  <si>
    <t>Sun 9-6</t>
  </si>
  <si>
    <t>Prior period carryover was $2,100</t>
  </si>
  <si>
    <t>Mon 9-7</t>
  </si>
  <si>
    <t>Tue 9-8</t>
  </si>
  <si>
    <t>Wed 9-9</t>
  </si>
  <si>
    <t>Thu 9-10</t>
  </si>
  <si>
    <t>Fri 9-11</t>
  </si>
  <si>
    <t>Sat 9-12</t>
  </si>
  <si>
    <t>DS</t>
  </si>
  <si>
    <t xml:space="preserve"> Total Week </t>
  </si>
  <si>
    <t>Sun 9-13</t>
  </si>
  <si>
    <t>Mon 9-14</t>
  </si>
  <si>
    <t>Tue 9-15</t>
  </si>
  <si>
    <t xml:space="preserve">This was from last period owed </t>
  </si>
  <si>
    <t>Wed 9-16</t>
  </si>
  <si>
    <t>Thu 9-17</t>
  </si>
  <si>
    <t>Fri 9-18</t>
  </si>
  <si>
    <t>Sat 9-19</t>
  </si>
  <si>
    <t>Sun 9-20</t>
  </si>
  <si>
    <t>Mon 9-21</t>
  </si>
  <si>
    <t>Tue 9-22</t>
  </si>
  <si>
    <t>Wed 9-23</t>
  </si>
  <si>
    <t>Thu 9-24</t>
  </si>
  <si>
    <t>Tomorrow will reflect short $67 there was not enough cash to pay GY</t>
  </si>
  <si>
    <t>Fri 9-25</t>
  </si>
  <si>
    <t>Sat 9-26</t>
  </si>
  <si>
    <t>Sun 9-27</t>
  </si>
  <si>
    <t>Mon 9-28</t>
  </si>
  <si>
    <t>Tue 9-29</t>
  </si>
  <si>
    <t>Received Change order(unopened)</t>
  </si>
  <si>
    <t>Wed 9-30</t>
  </si>
  <si>
    <t>Thu 10-1</t>
  </si>
  <si>
    <t>Fri 10-2</t>
  </si>
  <si>
    <t>shortage was $0</t>
  </si>
  <si>
    <t>Sat 10-3</t>
  </si>
  <si>
    <t> </t>
  </si>
  <si>
    <t>Sun 10-4</t>
  </si>
  <si>
    <t>Ending Period Count of Amopunt on hand</t>
  </si>
  <si>
    <t>Period11</t>
  </si>
  <si>
    <t>Over deposited $100 will reflect tomorrow</t>
  </si>
  <si>
    <t>Mon 10-5</t>
  </si>
  <si>
    <t>Tue 10-6</t>
  </si>
  <si>
    <t>Received Change order</t>
  </si>
  <si>
    <t>Wed 10-7</t>
  </si>
  <si>
    <t>Thu 10-8</t>
  </si>
  <si>
    <t>Fri 10-9</t>
  </si>
  <si>
    <t>Sat 10-10</t>
  </si>
  <si>
    <t>Sun 10-11</t>
  </si>
  <si>
    <t>Mon 10-12</t>
  </si>
  <si>
    <t>Tue 10-13</t>
  </si>
  <si>
    <t>Wed 10-14</t>
  </si>
  <si>
    <t>Thu 10-15</t>
  </si>
  <si>
    <t>Fri 10-16</t>
  </si>
  <si>
    <t>Sat 10-17</t>
  </si>
  <si>
    <t>Sun 10-18</t>
  </si>
  <si>
    <t>Mon 10-19</t>
  </si>
  <si>
    <t>Tue 10-20</t>
  </si>
  <si>
    <t>Wed 10-21</t>
  </si>
  <si>
    <t>Thu 10-22</t>
  </si>
  <si>
    <t>Fri 10-23</t>
  </si>
  <si>
    <t>Sat 10-24</t>
  </si>
  <si>
    <t>Sun 10-25</t>
  </si>
  <si>
    <t>Mon 10-26</t>
  </si>
  <si>
    <t>Tue 10-27</t>
  </si>
  <si>
    <t>Wed 10-28</t>
  </si>
  <si>
    <t>Thu 10-29</t>
  </si>
  <si>
    <t>Fri 10-30</t>
  </si>
  <si>
    <t>Sat 10-31</t>
  </si>
  <si>
    <t>Sun 11-1</t>
  </si>
  <si>
    <t>Period12</t>
  </si>
  <si>
    <t>Mon 11-2</t>
  </si>
  <si>
    <t>Tue 11-3</t>
  </si>
  <si>
    <t>Wed 11-4</t>
  </si>
  <si>
    <t>Thu 11-5</t>
  </si>
  <si>
    <t>Fri 11-6</t>
  </si>
  <si>
    <t>Sat 11-7</t>
  </si>
  <si>
    <t>Sun 11-8</t>
  </si>
  <si>
    <t>Mon 11-9</t>
  </si>
  <si>
    <t>Tue 11-10</t>
  </si>
  <si>
    <t>Wed 11-11</t>
  </si>
  <si>
    <t>Thu 11-12</t>
  </si>
  <si>
    <t>Fri 11-13</t>
  </si>
  <si>
    <t>Sat 11-14</t>
  </si>
  <si>
    <t>Sun 11-15</t>
  </si>
  <si>
    <t>Mon 11-16</t>
  </si>
  <si>
    <t>Tue 11-17</t>
  </si>
  <si>
    <t>Wed 11-18</t>
  </si>
  <si>
    <t>Thu 11-19</t>
  </si>
  <si>
    <t>Fri 11-20</t>
  </si>
  <si>
    <t>Sat 11-21</t>
  </si>
  <si>
    <t>Sun 11-22</t>
  </si>
  <si>
    <t>Mon 11-23</t>
  </si>
  <si>
    <t>Tue 11-24</t>
  </si>
  <si>
    <t>Wed 11-25</t>
  </si>
  <si>
    <t>Thu 11-26</t>
  </si>
  <si>
    <t>Fri 11-27</t>
  </si>
  <si>
    <t>Sat 11-28</t>
  </si>
  <si>
    <t>Sun 11-29</t>
  </si>
  <si>
    <t>Period13</t>
  </si>
  <si>
    <t>Mon 11-30</t>
  </si>
  <si>
    <t>Tue 12-1</t>
  </si>
  <si>
    <t>Wed 12-2</t>
  </si>
  <si>
    <t>Thu 12-3</t>
  </si>
  <si>
    <t>Fri 12-4</t>
  </si>
  <si>
    <t>Sat 12-5</t>
  </si>
  <si>
    <t>Sun 12-6</t>
  </si>
  <si>
    <t>Mon 12-7</t>
  </si>
  <si>
    <t>Tue 12-8</t>
  </si>
  <si>
    <t>Wed 12-9</t>
  </si>
  <si>
    <t>Thu 12-10</t>
  </si>
  <si>
    <t>Fri 12-11</t>
  </si>
  <si>
    <t>Sat 12-12</t>
  </si>
  <si>
    <t>Sun 12-13</t>
  </si>
  <si>
    <t>Mon 12-14</t>
  </si>
  <si>
    <t>Tue 12-15</t>
  </si>
  <si>
    <t>Wed 12-16</t>
  </si>
  <si>
    <t>Thu 12-17</t>
  </si>
  <si>
    <t>Fri 12-18</t>
  </si>
  <si>
    <t>Sat 12-19</t>
  </si>
  <si>
    <t>Sun 12-20</t>
  </si>
  <si>
    <t>Mon 12-21</t>
  </si>
  <si>
    <t>Tue 12-22</t>
  </si>
  <si>
    <t>Wed 12-23</t>
  </si>
  <si>
    <t>Thu 12-24</t>
  </si>
  <si>
    <t>Fri 12-25</t>
  </si>
  <si>
    <t>Sat 12-26</t>
  </si>
  <si>
    <t>Sun 12-27</t>
  </si>
  <si>
    <t>Claremont</t>
  </si>
  <si>
    <t>YT</t>
  </si>
  <si>
    <t>BH</t>
  </si>
  <si>
    <t>Chng order received</t>
  </si>
  <si>
    <t>Chng order paid(Short $53 actual for the Day)</t>
  </si>
  <si>
    <t>vs</t>
  </si>
  <si>
    <t>Change order received &amp; paid</t>
  </si>
  <si>
    <t>Change order paid</t>
  </si>
  <si>
    <t>Changer order received &amp; paid (Ordered Sunday 9.13.26)</t>
  </si>
  <si>
    <t xml:space="preserve">Partial Closure due to shooting across the street </t>
  </si>
  <si>
    <t>Change order received  - BH (Ordered Sunday 9.20.26)</t>
  </si>
  <si>
    <t xml:space="preserve">GY Shortage EP &amp; H (Servers) will coach </t>
  </si>
  <si>
    <t xml:space="preserve">EP Coached by BH </t>
  </si>
  <si>
    <t>HA Coached by BH. Change Order Paid $800- SH</t>
  </si>
  <si>
    <t>Dep not entered in ALOHA before 8AM $1,232</t>
  </si>
  <si>
    <t xml:space="preserve">Change order recieved by VS, Counted by BH  (Ordered 09/27/2026) </t>
  </si>
  <si>
    <t>EE</t>
  </si>
  <si>
    <t xml:space="preserve">Change order paid </t>
  </si>
  <si>
    <t>VS</t>
  </si>
  <si>
    <t>Costa Mesa</t>
  </si>
  <si>
    <t>cn</t>
  </si>
  <si>
    <t>Labor day</t>
  </si>
  <si>
    <t>Change order received</t>
  </si>
  <si>
    <t>Change order deposit</t>
  </si>
  <si>
    <t>bl</t>
  </si>
  <si>
    <t>Norms 77 birthday</t>
  </si>
  <si>
    <t>Change order received / change order deposit</t>
  </si>
  <si>
    <t>change order received</t>
  </si>
  <si>
    <t>miss count $80 from change order / will balance tomorrow</t>
  </si>
  <si>
    <t>Carson</t>
  </si>
  <si>
    <t>SM,NJ,TB</t>
  </si>
  <si>
    <t>Paid $ 1,400 Change Order /Recieved $700.00</t>
  </si>
  <si>
    <t>Paid$700.00 Change Order/Recieved $1,500</t>
  </si>
  <si>
    <t>NJ</t>
  </si>
  <si>
    <t>TB</t>
  </si>
  <si>
    <t>YH</t>
  </si>
  <si>
    <t>40$short Victor &amp; Esme</t>
  </si>
  <si>
    <t>Yh</t>
  </si>
  <si>
    <t>SM</t>
  </si>
  <si>
    <t>Short $39 Victor Drawer</t>
  </si>
  <si>
    <t>Victor cashier</t>
  </si>
  <si>
    <t>Cash refund to guest</t>
  </si>
  <si>
    <t>nj</t>
  </si>
  <si>
    <t>sean took $15 for product (Victor on register)</t>
  </si>
  <si>
    <t>ESme Cashier</t>
  </si>
  <si>
    <t>sm</t>
  </si>
  <si>
    <t>Over 105</t>
  </si>
  <si>
    <t xml:space="preserve">SM </t>
  </si>
  <si>
    <t>Safe short $380 after putting cash back we will be  -$43 short</t>
  </si>
  <si>
    <t>Alan received $80.00 in conterfeit $20's</t>
  </si>
  <si>
    <t>Register was short $100</t>
  </si>
  <si>
    <t>Put back the $100 back to register</t>
  </si>
  <si>
    <t>Downey</t>
  </si>
  <si>
    <t>Chage Order Deposits (Positive amount)</t>
  </si>
  <si>
    <t>DJS</t>
  </si>
  <si>
    <t>DB</t>
  </si>
  <si>
    <t>djs</t>
  </si>
  <si>
    <t>Ordered on Sun 8.30.26</t>
  </si>
  <si>
    <t>Ordered on Sun 9.7.26</t>
  </si>
  <si>
    <t>LH</t>
  </si>
  <si>
    <t>Ordered on Sun 9.13.26</t>
  </si>
  <si>
    <t>Ordered on Sun 9.20.26</t>
  </si>
  <si>
    <t>Petty cash was short $31-- took from pm drawer to balance</t>
  </si>
  <si>
    <t>Ordered on 9.27.26</t>
  </si>
  <si>
    <t>Ordered on 10.4.26 GY No Cash All Credit had to take from Bank Cash.</t>
  </si>
  <si>
    <t>balance from yesterday.</t>
  </si>
  <si>
    <t>Not enough cash payments versus CC tips. Borrow $14 from am drawer to balance</t>
  </si>
  <si>
    <t>El Monte</t>
  </si>
  <si>
    <t>CV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</si>
  <si>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</si>
  <si>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</t>
  </si>
  <si>
    <t>Ac</t>
  </si>
  <si>
    <t>Dropped previous Brinks bag/ received new bag today.</t>
  </si>
  <si>
    <t>Hollywood</t>
  </si>
  <si>
    <t>RR</t>
  </si>
  <si>
    <t>RR JA</t>
  </si>
  <si>
    <t xml:space="preserve">     </t>
  </si>
  <si>
    <t xml:space="preserve">RR  </t>
  </si>
  <si>
    <t>Change order deposited</t>
  </si>
  <si>
    <t xml:space="preserve">Change order received / Deposited </t>
  </si>
  <si>
    <t>JA</t>
  </si>
  <si>
    <t>EOD deposit $100 was stuck in cash cartridge</t>
  </si>
  <si>
    <t>Change order received  / 0 short</t>
  </si>
  <si>
    <t>Change order received - $500/$495</t>
  </si>
  <si>
    <t>Received change order $500/$480 - Dropped paid $640</t>
  </si>
  <si>
    <t>Huntington Beach</t>
  </si>
  <si>
    <t>CM/JG</t>
  </si>
  <si>
    <t>We will pay back this money as soon as we get our next delivery</t>
  </si>
  <si>
    <t xml:space="preserve">       FM </t>
  </si>
  <si>
    <t xml:space="preserve">         JG</t>
  </si>
  <si>
    <t>FM</t>
  </si>
  <si>
    <t xml:space="preserve">        CM</t>
  </si>
  <si>
    <t>CM</t>
  </si>
  <si>
    <t>We were supposed to received this order on 08/28/2026</t>
  </si>
  <si>
    <t>JG</t>
  </si>
  <si>
    <t>We paid change order received on 08/12/2026</t>
  </si>
  <si>
    <t>Petty  cash was short $80.00</t>
  </si>
  <si>
    <t xml:space="preserve">CM </t>
  </si>
  <si>
    <t>Change ordered received,  placed on 09/24/2026</t>
  </si>
  <si>
    <t>We paid change order received on 09/09/2026</t>
  </si>
  <si>
    <t>Inglewood</t>
  </si>
  <si>
    <t>MH</t>
  </si>
  <si>
    <t>Bank Balance of $4095.00( no money was received on the week 08/09</t>
  </si>
  <si>
    <t>till 08/15 see full report.</t>
  </si>
  <si>
    <t>GG</t>
  </si>
  <si>
    <t>SG</t>
  </si>
  <si>
    <t>Short $2.00</t>
  </si>
  <si>
    <t>Short $4.00</t>
  </si>
  <si>
    <t>Over $6.00</t>
  </si>
  <si>
    <t>change order dropped $800</t>
  </si>
  <si>
    <t>Short $ 15.00</t>
  </si>
  <si>
    <t>change order dropped $400</t>
  </si>
  <si>
    <t>Over $ 21.00</t>
  </si>
  <si>
    <t>Change order dropped.</t>
  </si>
  <si>
    <t>Short $ 11.00</t>
  </si>
  <si>
    <t>Short $35.00</t>
  </si>
  <si>
    <t>Over $ 25.00</t>
  </si>
  <si>
    <t>The amount we received is the same amount we dropped.( Changer order)</t>
  </si>
  <si>
    <t>Over $30.00</t>
  </si>
  <si>
    <t>short $24.00</t>
  </si>
  <si>
    <t>Short $15.00</t>
  </si>
  <si>
    <t>Over $7.00</t>
  </si>
  <si>
    <t>Change order dropped. $1000.00</t>
  </si>
  <si>
    <t>Change order Received $2100.00</t>
  </si>
  <si>
    <t>Short by 19.3</t>
  </si>
  <si>
    <t>Change order dropped.$750.00</t>
  </si>
  <si>
    <t>Short for the day.</t>
  </si>
  <si>
    <t xml:space="preserve">Short $116.00 began to open at 6am </t>
  </si>
  <si>
    <t>Over $61.00 moving forward we are schedule to open at 6am.</t>
  </si>
  <si>
    <t>Change order dropped $1000</t>
  </si>
  <si>
    <t>over by $21.74</t>
  </si>
  <si>
    <t>Change Order recieved $1790.00&amp; Change order dropped$700.00</t>
  </si>
  <si>
    <t>Change order dropped $400</t>
  </si>
  <si>
    <t>La Cienega</t>
  </si>
  <si>
    <t>TS</t>
  </si>
  <si>
    <t>coin deposit recieved and drop</t>
  </si>
  <si>
    <t>Tony S</t>
  </si>
  <si>
    <t>Tony D</t>
  </si>
  <si>
    <t>safe count recieved.</t>
  </si>
  <si>
    <t>ym</t>
  </si>
  <si>
    <t>coin drop deposit recieved and drop</t>
  </si>
  <si>
    <t>reveived and deposit</t>
  </si>
  <si>
    <t>$100.00 drop got stock in the machine. actually $43.00 short</t>
  </si>
  <si>
    <t>coin order recieved and drop</t>
  </si>
  <si>
    <t> safe money</t>
  </si>
  <si>
    <t> 3</t>
  </si>
  <si>
    <t>Coin order recieved and deposit</t>
  </si>
  <si>
    <t>Tony s</t>
  </si>
  <si>
    <t>Ton y S</t>
  </si>
  <si>
    <t>tony S</t>
  </si>
  <si>
    <t>Lakewood</t>
  </si>
  <si>
    <t>ER</t>
  </si>
  <si>
    <t>Received change order</t>
  </si>
  <si>
    <t>Er</t>
  </si>
  <si>
    <t>SP</t>
  </si>
  <si>
    <t xml:space="preserve">$600.00 dropped </t>
  </si>
  <si>
    <t>Dropped $605 by Lalo</t>
  </si>
  <si>
    <t xml:space="preserve">Change order received </t>
  </si>
  <si>
    <t>$650.00 Change order deposit</t>
  </si>
  <si>
    <t xml:space="preserve">Change order Deposit </t>
  </si>
  <si>
    <t>$490 Change order deposited</t>
  </si>
  <si>
    <t>Dropped $730 by Lalo</t>
  </si>
  <si>
    <t xml:space="preserve">ER </t>
  </si>
  <si>
    <t xml:space="preserve">Change Order Received </t>
  </si>
  <si>
    <t>Change order Deposited By lalo Deposit was made after 7am</t>
  </si>
  <si>
    <t xml:space="preserve">Change order dropped </t>
  </si>
  <si>
    <t>Change order received &amp; Lalo forgot to put the deposit to Aloha</t>
  </si>
  <si>
    <t>Las Vegas</t>
  </si>
  <si>
    <t>ADC HT</t>
  </si>
  <si>
    <t>5000 Prize Pool For Cash Grab A Cox</t>
  </si>
  <si>
    <t>ADC  HT CG Verified by all managers</t>
  </si>
  <si>
    <t>$5000 Prize Fund - Paid $3277 OUT- Drop $1723 Samantha/ Hugo</t>
  </si>
  <si>
    <t>2 Bags. $700 (last Period) $100 This period</t>
  </si>
  <si>
    <t>Short $4</t>
  </si>
  <si>
    <t>HT</t>
  </si>
  <si>
    <t>RECEIVED 2 BAGS OF $100 AND 1 BAG OF $700 IN CHANGE FUND</t>
  </si>
  <si>
    <t>Zero for over/short</t>
  </si>
  <si>
    <t>Over $10</t>
  </si>
  <si>
    <t>Over$36</t>
  </si>
  <si>
    <t>Change bought Bag $950 - A Cox</t>
  </si>
  <si>
    <t>Over $32</t>
  </si>
  <si>
    <t>Over$34</t>
  </si>
  <si>
    <t>Over $17</t>
  </si>
  <si>
    <t>Short$11</t>
  </si>
  <si>
    <t>Short $19</t>
  </si>
  <si>
    <t>Over $15</t>
  </si>
  <si>
    <t>Change Order Received $1600 (2x $100 &amp; 2x $700) // Change buy drop $900 (2x$100 &amp; 1x $700)</t>
  </si>
  <si>
    <t>Bounce from prior day</t>
  </si>
  <si>
    <t>Over $16</t>
  </si>
  <si>
    <t>Deposit of 347 enetered was imcorrect. Deposit was $505 for 10/1/26. This created a $6 overage.</t>
  </si>
  <si>
    <t>over 6$</t>
  </si>
  <si>
    <t>over $10</t>
  </si>
  <si>
    <t>Change bought - Bag of $700 and Bag of $100 - A Cox</t>
  </si>
  <si>
    <t>AC/HT</t>
  </si>
  <si>
    <t>Short $2</t>
  </si>
  <si>
    <t>Over $7</t>
  </si>
  <si>
    <t>Over $45</t>
  </si>
  <si>
    <t>C/O Received (1 x $90 &amp; 2 x $700) // Short$20</t>
  </si>
  <si>
    <t>Over $4</t>
  </si>
  <si>
    <t>Over $24</t>
  </si>
  <si>
    <t>Ontario</t>
  </si>
  <si>
    <t>The payment in column c pays the outstanding balance at the end of Per08</t>
  </si>
  <si>
    <t>LV</t>
  </si>
  <si>
    <t>CG</t>
  </si>
  <si>
    <t>Change ord recvd</t>
  </si>
  <si>
    <t xml:space="preserve">Pay change order </t>
  </si>
  <si>
    <t xml:space="preserve">Pay tips </t>
  </si>
  <si>
    <t>Pay change order / was short not over -SH</t>
  </si>
  <si>
    <t>LV/CG</t>
  </si>
  <si>
    <t>Change ord recvd by CG</t>
  </si>
  <si>
    <t>Short $759 -SH</t>
  </si>
  <si>
    <t>Over/Short  was (0)</t>
  </si>
  <si>
    <t>Over $561 -CG</t>
  </si>
  <si>
    <t>Short $524 not over -SH</t>
  </si>
  <si>
    <t>Short $40</t>
  </si>
  <si>
    <t xml:space="preserve">Over $49 </t>
  </si>
  <si>
    <t xml:space="preserve">Short -$60 but is only 11 over for the week </t>
  </si>
  <si>
    <t>Change ord recvd by LV</t>
  </si>
  <si>
    <t>Change ord deposit $700 by LV</t>
  </si>
  <si>
    <t>SH</t>
  </si>
  <si>
    <t>Change Order Deposit $300 by SH</t>
  </si>
  <si>
    <t>(</t>
  </si>
  <si>
    <t>Short -$50 - tip out</t>
  </si>
  <si>
    <t>Short $44-tip out</t>
  </si>
  <si>
    <t xml:space="preserve">In the Report of the 365 is (0) </t>
  </si>
  <si>
    <t>Orange</t>
  </si>
  <si>
    <t xml:space="preserve">                                                                                                                                                                         </t>
  </si>
  <si>
    <t>BL</t>
  </si>
  <si>
    <t>BR</t>
  </si>
  <si>
    <t>short 0</t>
  </si>
  <si>
    <t>Coin order was paid today</t>
  </si>
  <si>
    <t>......................</t>
  </si>
  <si>
    <t>.</t>
  </si>
  <si>
    <t> TB</t>
  </si>
  <si>
    <t>petty shows should be 1300, only at 1200.</t>
  </si>
  <si>
    <t>=</t>
  </si>
  <si>
    <t>`</t>
  </si>
  <si>
    <t>Coin order was placed this day by AR not over or short</t>
  </si>
  <si>
    <t>change order received $875</t>
  </si>
  <si>
    <t>$0 over/short</t>
  </si>
  <si>
    <t>-*C8743</t>
  </si>
  <si>
    <t>++</t>
  </si>
  <si>
    <t>Pico Rivera</t>
  </si>
  <si>
    <t>HF</t>
  </si>
  <si>
    <t>VM</t>
  </si>
  <si>
    <t>didnt recieve bag the week before got double 2 bags this week</t>
  </si>
  <si>
    <t>VM PP</t>
  </si>
  <si>
    <t xml:space="preserve">change order drop / change order recived </t>
  </si>
  <si>
    <t>pp</t>
  </si>
  <si>
    <t>change order drop</t>
  </si>
  <si>
    <t xml:space="preserve">VM </t>
  </si>
  <si>
    <t xml:space="preserve">Order placed </t>
  </si>
  <si>
    <t xml:space="preserve">received bank order </t>
  </si>
  <si>
    <t>Order placed / change order drop</t>
  </si>
  <si>
    <t>Change order drop</t>
  </si>
  <si>
    <t xml:space="preserve">All counts verified </t>
  </si>
  <si>
    <t>vm</t>
  </si>
  <si>
    <t>Order placed /change order drop</t>
  </si>
  <si>
    <t>PP</t>
  </si>
  <si>
    <t>received bank order /change order drop</t>
  </si>
  <si>
    <t>Rialto</t>
  </si>
  <si>
    <r>
      <rPr>
        <sz val="11"/>
        <color rgb="FF0000FF"/>
        <rFont val="Aptos Narrow"/>
        <family val="2"/>
        <scheme val="minor"/>
      </rPr>
      <t xml:space="preserve">OVER </t>
    </r>
    <r>
      <rPr>
        <u/>
        <sz val="11"/>
        <color rgb="FF0000FF"/>
        <rFont val="Aptos Narrow"/>
        <family val="2"/>
        <scheme val="minor"/>
      </rPr>
      <t>19</t>
    </r>
  </si>
  <si>
    <r>
      <rPr>
        <sz val="11"/>
        <color rgb="FF0000FF"/>
        <rFont val="Aptos Narrow"/>
        <family val="2"/>
        <scheme val="minor"/>
      </rPr>
      <t>Short</t>
    </r>
    <r>
      <rPr>
        <u/>
        <sz val="11"/>
        <color rgb="FF0000FF"/>
        <rFont val="Aptos Narrow"/>
        <family val="2"/>
        <scheme val="minor"/>
      </rPr>
      <t xml:space="preserve"> </t>
    </r>
    <r>
      <rPr>
        <sz val="11"/>
        <color rgb="FF0000FF"/>
        <rFont val="Aptos Narrow"/>
        <family val="2"/>
        <scheme val="minor"/>
      </rPr>
      <t xml:space="preserve"> </t>
    </r>
    <r>
      <rPr>
        <u/>
        <sz val="11"/>
        <color rgb="FF0000FF"/>
        <rFont val="Aptos Narrow"/>
        <family val="2"/>
        <scheme val="minor"/>
      </rPr>
      <t>46</t>
    </r>
  </si>
  <si>
    <t>Short  11</t>
  </si>
  <si>
    <t>AJ</t>
  </si>
  <si>
    <t>Short  21</t>
  </si>
  <si>
    <t>BR/JA/OM</t>
  </si>
  <si>
    <t>Change order received   over 43</t>
  </si>
  <si>
    <t>Over 24</t>
  </si>
  <si>
    <t xml:space="preserve">Change Paid </t>
  </si>
  <si>
    <t>over  20</t>
  </si>
  <si>
    <t>Shoort 4</t>
  </si>
  <si>
    <t>OM</t>
  </si>
  <si>
    <t>DROP DIDNT GO THRUE FOR $460</t>
  </si>
  <si>
    <t>short 47</t>
  </si>
  <si>
    <t>Change order received over 52</t>
  </si>
  <si>
    <t>over 52</t>
  </si>
  <si>
    <t>over 18</t>
  </si>
  <si>
    <t>short 1</t>
  </si>
  <si>
    <t>short 53</t>
  </si>
  <si>
    <t>short 15</t>
  </si>
  <si>
    <t>over 22</t>
  </si>
  <si>
    <t>OVER 59       No change order this week</t>
  </si>
  <si>
    <t>Short 22</t>
  </si>
  <si>
    <t>Short 20</t>
  </si>
  <si>
    <t>OVER 32</t>
  </si>
  <si>
    <t>Short 5</t>
  </si>
  <si>
    <t>Short 14</t>
  </si>
  <si>
    <t>Change order received over 7</t>
  </si>
  <si>
    <t xml:space="preserve">Short </t>
  </si>
  <si>
    <t>Short 46</t>
  </si>
  <si>
    <t> 920</t>
  </si>
  <si>
    <t>still have one bag of 920</t>
  </si>
  <si>
    <t>short  20</t>
  </si>
  <si>
    <t>Over  10</t>
  </si>
  <si>
    <t>Over 26</t>
  </si>
  <si>
    <t>Short 15</t>
  </si>
  <si>
    <t xml:space="preserve">Change order deposit </t>
  </si>
  <si>
    <t>Short 12</t>
  </si>
  <si>
    <t>Over 8</t>
  </si>
  <si>
    <t>Riverside</t>
  </si>
  <si>
    <t>JP</t>
  </si>
  <si>
    <t>CA</t>
  </si>
  <si>
    <t>LABOR DAY</t>
  </si>
  <si>
    <t>Change deposit</t>
  </si>
  <si>
    <t>MR</t>
  </si>
  <si>
    <t>dd</t>
  </si>
  <si>
    <t>we are over $16.00</t>
  </si>
  <si>
    <t>we are over $27</t>
  </si>
  <si>
    <t>Change order received &amp; deposits</t>
  </si>
  <si>
    <t>Santa Ana</t>
  </si>
  <si>
    <t>499 change order left unpaid from previous period.</t>
  </si>
  <si>
    <t>ema</t>
  </si>
  <si>
    <t>morning drop 450 didn't go in until after 7:30, today short 450</t>
  </si>
  <si>
    <t>Tuesday will be over 450$</t>
  </si>
  <si>
    <t>st</t>
  </si>
  <si>
    <t>Paid in for $905 and paidout for $300 accidently added in pos</t>
  </si>
  <si>
    <t>paid out for $605 added to correct accident from TUE</t>
  </si>
  <si>
    <t>ST</t>
  </si>
  <si>
    <t>ea</t>
  </si>
  <si>
    <t xml:space="preserve">ST </t>
  </si>
  <si>
    <t>Change order recived  $1000.00</t>
  </si>
  <si>
    <t>Change order recived  $975.00</t>
  </si>
  <si>
    <t>forgot to add daily deposit by 8am tot dep. 3416</t>
  </si>
  <si>
    <t>St</t>
  </si>
  <si>
    <t xml:space="preserve">Forgot to add daily deposit by 8AM  tot deposit  $2533.00 </t>
  </si>
  <si>
    <t>EA</t>
  </si>
  <si>
    <t>Slauson</t>
  </si>
  <si>
    <t>RG</t>
  </si>
  <si>
    <t>Prior Period 8 owed $2376</t>
  </si>
  <si>
    <t>Rg</t>
  </si>
  <si>
    <t xml:space="preserve">owed 5366 </t>
  </si>
  <si>
    <t>Period 9  OWED Total 5366</t>
  </si>
  <si>
    <t>fn</t>
  </si>
  <si>
    <t>P 10 We owed 2774 + Pc300 = 3074</t>
  </si>
  <si>
    <t>we owed p10 $2774</t>
  </si>
  <si>
    <t xml:space="preserve"> </t>
  </si>
  <si>
    <t>rg</t>
  </si>
  <si>
    <t>Rg.</t>
  </si>
  <si>
    <t>South Torrance</t>
  </si>
  <si>
    <t>jp</t>
  </si>
  <si>
    <t>IA</t>
  </si>
  <si>
    <t>ia</t>
  </si>
  <si>
    <t>Money recieved Wed ordered Sun 9/6</t>
  </si>
  <si>
    <t xml:space="preserve">Paid Change order back </t>
  </si>
  <si>
    <r>
      <rPr>
        <b/>
        <sz val="11"/>
        <color rgb="FF242424"/>
        <rFont val="Aptos Narrow"/>
        <family val="2"/>
      </rPr>
      <t>Hipo did not pick up tips.</t>
    </r>
    <r>
      <rPr>
        <sz val="11"/>
        <color rgb="FF242424"/>
        <rFont val="Aptos Narrow"/>
        <family val="2"/>
      </rPr>
      <t xml:space="preserve"> Money Recieved on tuesday ordered 9/13</t>
    </r>
  </si>
  <si>
    <t>Money short from yesterday Paid Hippo</t>
  </si>
  <si>
    <t>Over 35</t>
  </si>
  <si>
    <t>Short 37 from yestday real is $2+</t>
  </si>
  <si>
    <t>Zero Cash Over Short.</t>
  </si>
  <si>
    <t>Under investigation</t>
  </si>
  <si>
    <t>Ripped 20$ actual short</t>
  </si>
  <si>
    <t>Dropped change order</t>
  </si>
  <si>
    <t> 700</t>
  </si>
  <si>
    <t> 2</t>
  </si>
  <si>
    <t> 200</t>
  </si>
  <si>
    <t xml:space="preserve">R365 not pulling from Aloha manuelly calculated </t>
  </si>
  <si>
    <t>R365 not pulling from Aloha manuelly calculated</t>
  </si>
  <si>
    <t>Change order recieved during PM Shift</t>
  </si>
  <si>
    <t>Change order paid back (left blank, inputed on 10/09</t>
  </si>
  <si>
    <r>
      <rPr>
        <sz val="10"/>
        <color rgb="FF0000FF"/>
        <rFont val="Aptos Narrow"/>
        <family val="2"/>
        <scheme val="minor"/>
      </rPr>
      <t>Under investigation</t>
    </r>
    <r>
      <rPr>
        <sz val="11"/>
        <color rgb="FF0000FF"/>
        <rFont val="Aptos Narrow"/>
        <family val="2"/>
        <scheme val="minor"/>
      </rPr>
      <t xml:space="preserve"> over on sunday (manuelly calculted waiting on r365</t>
    </r>
  </si>
  <si>
    <t>Over 10</t>
  </si>
  <si>
    <t>6+5+654</t>
  </si>
  <si>
    <t>North Torrance</t>
  </si>
  <si>
    <t>KG</t>
  </si>
  <si>
    <t>$500 change order</t>
  </si>
  <si>
    <t xml:space="preserve">$121 tips pulled from dinner after register count   </t>
  </si>
  <si>
    <t>Brinks Delivery</t>
  </si>
  <si>
    <t>GY tips left drawer with $150 in total plus olo tips $17 not paid</t>
  </si>
  <si>
    <t xml:space="preserve">$257 dropped at 7:45am 9/23 goes to 9/22/2026  $500 change </t>
  </si>
  <si>
    <t>Change order</t>
  </si>
  <si>
    <t>kg</t>
  </si>
  <si>
    <t>$1000.00 dropped/ $2500.00 rec.</t>
  </si>
  <si>
    <t>Van Nuys</t>
  </si>
  <si>
    <t>MM</t>
  </si>
  <si>
    <t>BC</t>
  </si>
  <si>
    <t>Mark, Fresly, Brian</t>
  </si>
  <si>
    <t>Recievechange order today</t>
  </si>
  <si>
    <t>FV</t>
  </si>
  <si>
    <t>Drop money late reflect the next day</t>
  </si>
  <si>
    <t>No Change order this week</t>
  </si>
  <si>
    <t>2 UGLY $10 taht machine dint accept</t>
  </si>
  <si>
    <t>recieve change order today</t>
  </si>
  <si>
    <t>mm</t>
  </si>
  <si>
    <t>5 dollars refund for games. Had 1 refund for games total $8</t>
  </si>
  <si>
    <t>Over from the day</t>
  </si>
  <si>
    <t>90 dollars tip erro will replace when server pays back</t>
  </si>
  <si>
    <t>bc</t>
  </si>
  <si>
    <t>West Covina</t>
  </si>
  <si>
    <t>YZ/GV</t>
  </si>
  <si>
    <t>GV</t>
  </si>
  <si>
    <t>Change Order Received</t>
  </si>
  <si>
    <t>YZ</t>
  </si>
  <si>
    <t>Change Order Paid</t>
  </si>
  <si>
    <t>GV/YZ</t>
  </si>
  <si>
    <t>Short 0.21 per Aloha Report</t>
  </si>
  <si>
    <t xml:space="preserve">Deposit was made late. Sarah Jensen corrected. </t>
  </si>
  <si>
    <t>Change Order Received/ Short 0.33 Cents</t>
  </si>
  <si>
    <t>yz</t>
  </si>
  <si>
    <t>$12.31 over for the day</t>
  </si>
  <si>
    <t>gv</t>
  </si>
  <si>
    <t>$15.91 over for the day</t>
  </si>
  <si>
    <t>gv/yz</t>
  </si>
  <si>
    <t>Change Order Received $1.95 short</t>
  </si>
  <si>
    <t>Change Order Paid ; Over $11</t>
  </si>
  <si>
    <t>Over $31</t>
  </si>
  <si>
    <t>OVER $18</t>
  </si>
  <si>
    <t>Change order Paid. Short $2</t>
  </si>
  <si>
    <t xml:space="preserve">Over $48. </t>
  </si>
  <si>
    <t>over $16</t>
  </si>
  <si>
    <t>change order recieved / over for the day $10</t>
  </si>
  <si>
    <t xml:space="preserve">Change Order Paid/ Short 37 </t>
  </si>
  <si>
    <t>Short $11</t>
  </si>
  <si>
    <t>Deposit was entered late. R365 will not match with actual. Daily deposit of $1180.</t>
  </si>
  <si>
    <t>Change order Paid/ Over 10</t>
  </si>
  <si>
    <t>Whittier</t>
  </si>
  <si>
    <t>NG</t>
  </si>
  <si>
    <t>LF</t>
  </si>
  <si>
    <t xml:space="preserve">Changed was order late and was delivered Monday not Thursday </t>
  </si>
  <si>
    <t xml:space="preserve">change order received. </t>
  </si>
  <si>
    <t xml:space="preserve">$700 Change order droped </t>
  </si>
  <si>
    <t>OC</t>
  </si>
  <si>
    <t xml:space="preserve">change order received. $175 paid </t>
  </si>
  <si>
    <t xml:space="preserve">Chef had entered a negative deposit on aloha   deposit by Nubia </t>
  </si>
  <si>
    <t>Brianna will be coached on shortages</t>
  </si>
  <si>
    <t>change order received and $150 Paid</t>
  </si>
  <si>
    <t xml:space="preserve">$700 Change Paid </t>
  </si>
  <si>
    <t xml:space="preserve">Chef found  $300 after closing the day </t>
  </si>
  <si>
    <t xml:space="preserve">bounce from previous day. </t>
  </si>
  <si>
    <t xml:space="preserve">$850 change order received orderd 9/23 $850 change paid </t>
  </si>
  <si>
    <t xml:space="preserve">short again will coach cashiers </t>
  </si>
  <si>
    <t xml:space="preserve">Managers will count drawers at the end of cashiers shift </t>
  </si>
  <si>
    <t>Managers need to count drawer at the end of every single cashier shift</t>
  </si>
  <si>
    <t>Had a check tranferred to kiosk and should be closed once it reset</t>
  </si>
  <si>
    <t xml:space="preserve">$850 change order received-ordered 9/30 $150 change paid </t>
  </si>
  <si>
    <t>LAFP</t>
  </si>
  <si>
    <t>all counts verified</t>
  </si>
  <si>
    <t xml:space="preserve">over from last server not getting tips. Tranfer check to ziozk  </t>
  </si>
  <si>
    <t>Chef entered negative deposit on aloha. Emailed to get it corrected.</t>
  </si>
  <si>
    <t xml:space="preserve">Paid briannas tips from previous day  $44.93 </t>
  </si>
  <si>
    <t xml:space="preserve">$1505 change order received. Ordered 10/7... $105 change paid </t>
  </si>
  <si>
    <t xml:space="preserve">short on grave yard drawer </t>
  </si>
  <si>
    <t>Period</t>
  </si>
  <si>
    <t>Start Date</t>
  </si>
  <si>
    <t>AN</t>
  </si>
  <si>
    <t>CL</t>
  </si>
  <si>
    <t>CR</t>
  </si>
  <si>
    <t>DN</t>
  </si>
  <si>
    <t>EM</t>
  </si>
  <si>
    <t>HB</t>
  </si>
  <si>
    <t>HO</t>
  </si>
  <si>
    <t>IG</t>
  </si>
  <si>
    <t>LC</t>
  </si>
  <si>
    <t>LK</t>
  </si>
  <si>
    <t>ON</t>
  </si>
  <si>
    <t>OR</t>
  </si>
  <si>
    <t>PR</t>
  </si>
  <si>
    <t>RL</t>
  </si>
  <si>
    <t>RV</t>
  </si>
  <si>
    <t>SA</t>
  </si>
  <si>
    <t>SL</t>
  </si>
  <si>
    <t>TO</t>
  </si>
  <si>
    <t>VN</t>
  </si>
  <si>
    <t>WC</t>
  </si>
  <si>
    <t>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</si>
</sst>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8" formatCode="&quot;$&quot;#,##0.00_);[Red]\(&quot;$&quot;#,##0.00\)"/>
    <numFmt numFmtId="42" formatCode="_(&quot;$&quot;* #,##0_);_(&quot;$&quot;* \(#,##0\);_(&quot;$&quot;* &quot;-&quot;_);_(@_)"/>
    <numFmt numFmtId="164" formatCode="ddd\ m\-d"/>
    <numFmt numFmtId="165" formatCode="ddd\ mm/dd/yy"/>
    <numFmt numFmtId="166" formatCode="_(&quot;$&quot;* #,##0.00_);_(&quot;$&quot;* \(#,##0.00\);_(&quot;$&quot;* &quot;-&quot;_);_(@_)"/>
  </numFmts>
  <fonts count="1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FF"/>
      <name val="Aptos Narrow"/>
      <family val="2"/>
      <scheme val="minor"/>
    </font>
    <font>
      <sz val="14"/>
      <name val="Aptos Narrow"/>
      <family val="2"/>
      <scheme val="minor"/>
    </font>
    <font>
      <sz val="14"/>
      <color rgb="FF0000FF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FF"/>
      <name val="Aptos Narrow"/>
      <family val="2"/>
    </font>
    <font>
      <b/>
      <sz val="11"/>
      <color rgb="FF000000"/>
      <name val="Aptos Narrow"/>
      <family val="2"/>
    </font>
    <font>
      <u/>
      <sz val="11"/>
      <color rgb="FF0000FF"/>
      <name val="Aptos Narrow"/>
      <family val="2"/>
      <scheme val="minor"/>
    </font>
    <font>
      <sz val="11"/>
      <color rgb="FF242424"/>
      <name val="Aptos Narrow"/>
      <family val="2"/>
    </font>
    <font>
      <b/>
      <sz val="11"/>
      <color rgb="FF242424"/>
      <name val="Aptos Narrow"/>
      <family val="2"/>
    </font>
    <font>
      <sz val="11"/>
      <color rgb="FF0000FF"/>
      <name val="Aptos Narrow"/>
      <family val="2"/>
      <scheme val="minor"/>
    </font>
    <font>
      <sz val="11"/>
      <color rgb="FF0000FF"/>
      <name val="Aptos Narrow"/>
      <family val="2"/>
    </font>
    <font>
      <sz val="11"/>
      <color rgb="FF000000"/>
      <name val="Aptos Narrow"/>
      <family val="2"/>
    </font>
    <font>
      <sz val="10"/>
      <color rgb="FF0000FF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CC"/>
        <bgColor rgb="FF000000"/>
      </patternFill>
    </fill>
    <fill>
      <patternFill patternType="solid">
        <fgColor theme="5" tint="0.39997558519241921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dotted">
        <color auto="1"/>
      </top>
      <bottom style="medium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medium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/>
      <right style="thick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dotted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2">
    <xf numFmtId="0" fontId="0" fillId="0" borderId="0"/>
    <xf numFmtId="0" fontId="5" fillId="0" borderId="0"/>
  </cellStyleXfs>
  <cellXfs count="96">
    <xf numFmtId="0" fontId="0" fillId="0" borderId="0" xfId="0"/>
    <xf numFmtId="42" fontId="0" fillId="0" borderId="0" xfId="0" applyNumberFormat="1"/>
    <xf numFmtId="42" fontId="1" fillId="0" borderId="1" xfId="0" applyNumberFormat="1" applyFont="1" applyBorder="1"/>
    <xf numFmtId="42" fontId="1" fillId="0" borderId="0" xfId="0" applyNumberFormat="1" applyFont="1"/>
    <xf numFmtId="42" fontId="2" fillId="3" borderId="0" xfId="0" applyNumberFormat="1" applyFont="1" applyFill="1" applyProtection="1">
      <protection locked="0"/>
    </xf>
    <xf numFmtId="0" fontId="1" fillId="4" borderId="0" xfId="0" applyFont="1" applyFill="1" applyAlignment="1">
      <alignment horizontal="centerContinuous"/>
    </xf>
    <xf numFmtId="0" fontId="2" fillId="3" borderId="3" xfId="0" applyFont="1" applyFill="1" applyBorder="1" applyProtection="1">
      <protection locked="0"/>
    </xf>
    <xf numFmtId="0" fontId="2" fillId="3" borderId="4" xfId="0" applyFont="1" applyFill="1" applyBorder="1" applyProtection="1">
      <protection locked="0"/>
    </xf>
    <xf numFmtId="0" fontId="1" fillId="2" borderId="3" xfId="0" applyFont="1" applyFill="1" applyBorder="1" applyAlignment="1">
      <alignment horizontal="centerContinuous"/>
    </xf>
    <xf numFmtId="0" fontId="1" fillId="2" borderId="4" xfId="0" applyFont="1" applyFill="1" applyBorder="1" applyAlignment="1">
      <alignment horizontal="centerContinuous"/>
    </xf>
    <xf numFmtId="0" fontId="3" fillId="0" borderId="0" xfId="0" applyFont="1"/>
    <xf numFmtId="0" fontId="4" fillId="3" borderId="0" xfId="0" applyFont="1" applyFill="1" applyAlignment="1" applyProtection="1">
      <alignment horizontal="center"/>
      <protection locked="0"/>
    </xf>
    <xf numFmtId="165" fontId="4" fillId="3" borderId="0" xfId="0" applyNumberFormat="1" applyFont="1" applyFill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1" fillId="5" borderId="0" xfId="0" applyFont="1" applyFill="1" applyAlignment="1">
      <alignment horizontal="centerContinuous" vertical="center"/>
    </xf>
    <xf numFmtId="0" fontId="0" fillId="0" borderId="0" xfId="0" applyAlignment="1" applyProtection="1">
      <alignment horizontal="left" wrapText="1"/>
      <protection hidden="1"/>
    </xf>
    <xf numFmtId="0" fontId="0" fillId="0" borderId="0" xfId="0" applyProtection="1">
      <protection hidden="1"/>
    </xf>
    <xf numFmtId="0" fontId="1" fillId="2" borderId="0" xfId="0" applyFont="1" applyFill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0" fillId="0" borderId="0" xfId="0" applyAlignment="1" applyProtection="1">
      <alignment horizontal="right"/>
      <protection hidden="1"/>
    </xf>
    <xf numFmtId="164" fontId="0" fillId="0" borderId="0" xfId="0" applyNumberFormat="1" applyAlignment="1" applyProtection="1">
      <alignment horizontal="right"/>
      <protection hidden="1"/>
    </xf>
    <xf numFmtId="42" fontId="0" fillId="0" borderId="0" xfId="0" applyNumberFormat="1" applyAlignment="1" applyProtection="1">
      <alignment horizontal="right"/>
      <protection hidden="1"/>
    </xf>
    <xf numFmtId="0" fontId="1" fillId="2" borderId="0" xfId="0" applyFont="1" applyFill="1" applyAlignment="1">
      <alignment horizontal="centerContinuous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7" xfId="0" applyFont="1" applyFill="1" applyBorder="1" applyProtection="1">
      <protection locked="0"/>
    </xf>
    <xf numFmtId="0" fontId="2" fillId="3" borderId="8" xfId="0" applyFont="1" applyFill="1" applyBorder="1" applyProtection="1">
      <protection locked="0"/>
    </xf>
    <xf numFmtId="0" fontId="0" fillId="0" borderId="9" xfId="0" applyBorder="1" applyProtection="1">
      <protection hidden="1"/>
    </xf>
    <xf numFmtId="0" fontId="0" fillId="0" borderId="10" xfId="0" applyBorder="1"/>
    <xf numFmtId="0" fontId="0" fillId="0" borderId="11" xfId="0" applyBorder="1"/>
    <xf numFmtId="0" fontId="0" fillId="0" borderId="12" xfId="0" applyBorder="1" applyAlignment="1">
      <alignment horizontal="right"/>
    </xf>
    <xf numFmtId="0" fontId="2" fillId="3" borderId="13" xfId="0" applyFont="1" applyFill="1" applyBorder="1" applyProtection="1">
      <protection locked="0"/>
    </xf>
    <xf numFmtId="0" fontId="0" fillId="0" borderId="12" xfId="0" applyBorder="1"/>
    <xf numFmtId="0" fontId="0" fillId="0" borderId="14" xfId="0" applyBorder="1"/>
    <xf numFmtId="0" fontId="0" fillId="0" borderId="15" xfId="0" applyBorder="1" applyAlignment="1">
      <alignment horizontal="right"/>
    </xf>
    <xf numFmtId="0" fontId="0" fillId="0" borderId="16" xfId="0" applyBorder="1"/>
    <xf numFmtId="0" fontId="0" fillId="0" borderId="17" xfId="0" applyBorder="1"/>
    <xf numFmtId="164" fontId="1" fillId="0" borderId="10" xfId="0" applyNumberFormat="1" applyFont="1" applyBorder="1"/>
    <xf numFmtId="0" fontId="1" fillId="0" borderId="10" xfId="0" applyFont="1" applyBorder="1"/>
    <xf numFmtId="8" fontId="2" fillId="3" borderId="6" xfId="0" applyNumberFormat="1" applyFont="1" applyFill="1" applyBorder="1" applyProtection="1">
      <protection locked="0"/>
    </xf>
    <xf numFmtId="8" fontId="2" fillId="3" borderId="18" xfId="0" applyNumberFormat="1" applyFont="1" applyFill="1" applyBorder="1" applyProtection="1">
      <protection locked="0"/>
    </xf>
    <xf numFmtId="1" fontId="2" fillId="3" borderId="6" xfId="0" applyNumberFormat="1" applyFont="1" applyFill="1" applyBorder="1" applyProtection="1">
      <protection locked="0"/>
    </xf>
    <xf numFmtId="0" fontId="6" fillId="0" borderId="0" xfId="0" applyFont="1"/>
    <xf numFmtId="0" fontId="6" fillId="6" borderId="0" xfId="0" applyFont="1" applyFill="1"/>
    <xf numFmtId="0" fontId="7" fillId="7" borderId="3" xfId="0" applyFont="1" applyFill="1" applyBorder="1"/>
    <xf numFmtId="0" fontId="6" fillId="0" borderId="9" xfId="0" applyFont="1" applyBorder="1"/>
    <xf numFmtId="0" fontId="8" fillId="0" borderId="10" xfId="0" applyFont="1" applyBorder="1"/>
    <xf numFmtId="0" fontId="8" fillId="0" borderId="0" xfId="0" applyFont="1"/>
    <xf numFmtId="0" fontId="6" fillId="0" borderId="11" xfId="0" applyFont="1" applyBorder="1"/>
    <xf numFmtId="0" fontId="6" fillId="0" borderId="12" xfId="0" applyFont="1" applyBorder="1"/>
    <xf numFmtId="0" fontId="7" fillId="7" borderId="6" xfId="0" applyFont="1" applyFill="1" applyBorder="1"/>
    <xf numFmtId="0" fontId="7" fillId="7" borderId="19" xfId="0" applyFont="1" applyFill="1" applyBorder="1"/>
    <xf numFmtId="0" fontId="6" fillId="0" borderId="14" xfId="0" applyFont="1" applyBorder="1"/>
    <xf numFmtId="0" fontId="6" fillId="0" borderId="15" xfId="0" applyFont="1" applyBorder="1"/>
    <xf numFmtId="0" fontId="7" fillId="7" borderId="18" xfId="0" applyFont="1" applyFill="1" applyBorder="1"/>
    <xf numFmtId="0" fontId="6" fillId="0" borderId="16" xfId="0" applyFont="1" applyBorder="1"/>
    <xf numFmtId="0" fontId="6" fillId="0" borderId="17" xfId="0" applyFont="1" applyBorder="1"/>
    <xf numFmtId="0" fontId="2" fillId="3" borderId="6" xfId="0" applyFont="1" applyFill="1" applyBorder="1" applyProtection="1">
      <protection locked="0"/>
    </xf>
    <xf numFmtId="6" fontId="2" fillId="3" borderId="13" xfId="0" applyNumberFormat="1" applyFont="1" applyFill="1" applyBorder="1" applyProtection="1">
      <protection locked="0"/>
    </xf>
    <xf numFmtId="6" fontId="0" fillId="0" borderId="14" xfId="0" applyNumberFormat="1" applyBorder="1"/>
    <xf numFmtId="6" fontId="0" fillId="0" borderId="17" xfId="0" applyNumberFormat="1" applyBorder="1"/>
    <xf numFmtId="166" fontId="2" fillId="3" borderId="0" xfId="0" applyNumberFormat="1" applyFont="1" applyFill="1" applyProtection="1">
      <protection locked="0"/>
    </xf>
    <xf numFmtId="166" fontId="1" fillId="0" borderId="1" xfId="0" applyNumberFormat="1" applyFont="1" applyBorder="1"/>
    <xf numFmtId="8" fontId="0" fillId="0" borderId="0" xfId="0" applyNumberFormat="1"/>
    <xf numFmtId="0" fontId="7" fillId="0" borderId="0" xfId="0" applyFont="1"/>
    <xf numFmtId="0" fontId="0" fillId="8" borderId="0" xfId="0" applyFill="1"/>
    <xf numFmtId="42" fontId="9" fillId="3" borderId="0" xfId="0" applyNumberFormat="1" applyFont="1" applyFill="1" applyProtection="1"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7" xfId="0" applyFont="1" applyFill="1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10" fillId="0" borderId="0" xfId="0" applyFont="1"/>
    <xf numFmtId="6" fontId="2" fillId="3" borderId="4" xfId="0" applyNumberFormat="1" applyFont="1" applyFill="1" applyBorder="1" applyProtection="1">
      <protection locked="0"/>
    </xf>
    <xf numFmtId="0" fontId="12" fillId="3" borderId="4" xfId="0" applyFont="1" applyFill="1" applyBorder="1" applyProtection="1">
      <protection locked="0"/>
    </xf>
    <xf numFmtId="0" fontId="13" fillId="0" borderId="0" xfId="0" applyFont="1"/>
    <xf numFmtId="6" fontId="7" fillId="7" borderId="6" xfId="0" applyNumberFormat="1" applyFont="1" applyFill="1" applyBorder="1"/>
    <xf numFmtId="6" fontId="7" fillId="7" borderId="18" xfId="0" applyNumberFormat="1" applyFont="1" applyFill="1" applyBorder="1"/>
    <xf numFmtId="0" fontId="13" fillId="7" borderId="6" xfId="0" applyFont="1" applyFill="1" applyBorder="1"/>
    <xf numFmtId="8" fontId="7" fillId="7" borderId="6" xfId="0" applyNumberFormat="1" applyFont="1" applyFill="1" applyBorder="1"/>
    <xf numFmtId="8" fontId="7" fillId="7" borderId="18" xfId="0" applyNumberFormat="1" applyFont="1" applyFill="1" applyBorder="1"/>
    <xf numFmtId="0" fontId="13" fillId="7" borderId="3" xfId="0" applyFont="1" applyFill="1" applyBorder="1"/>
    <xf numFmtId="0" fontId="13" fillId="7" borderId="20" xfId="0" applyFont="1" applyFill="1" applyBorder="1"/>
    <xf numFmtId="0" fontId="14" fillId="0" borderId="0" xfId="0" applyFont="1"/>
    <xf numFmtId="0" fontId="13" fillId="7" borderId="0" xfId="0" applyFont="1" applyFill="1"/>
    <xf numFmtId="6" fontId="13" fillId="7" borderId="0" xfId="0" applyNumberFormat="1" applyFont="1" applyFill="1"/>
    <xf numFmtId="0" fontId="13" fillId="7" borderId="21" xfId="0" applyFont="1" applyFill="1" applyBorder="1"/>
    <xf numFmtId="0" fontId="13" fillId="7" borderId="22" xfId="0" applyFont="1" applyFill="1" applyBorder="1"/>
    <xf numFmtId="0" fontId="6" fillId="6" borderId="0" xfId="0" applyFont="1" applyFill="1" applyAlignment="1">
      <alignment horizontal="right"/>
    </xf>
    <xf numFmtId="0" fontId="6" fillId="0" borderId="0" xfId="0" applyFont="1" applyAlignment="1">
      <alignment horizontal="right"/>
    </xf>
    <xf numFmtId="6" fontId="2" fillId="3" borderId="0" xfId="0" applyNumberFormat="1" applyFont="1" applyFill="1" applyProtection="1">
      <protection locked="0"/>
    </xf>
  </cellXfs>
  <cellStyles count="2">
    <cellStyle name="Normal" xfId="0" builtinId="0"/>
    <cellStyle name="Normal 2" xfId="1" xr:uid="{71B909AA-61D7-4D86-8A22-CFB9E933A065}"/>
  </cellStyles>
  <dxfs count="0"/>
  <tableStyles count="0" defaultTableStyle="TableStyleMedium2" defaultPivotStyle="PivotStyleLight16"/>
  <colors>
    <mruColors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42D0E-0860-4A29-8BCE-C8576E1A72D9}">
  <sheetPr codeName="Sheet1"/>
  <dimension ref="A1:I222"/>
  <sheetViews>
    <sheetView showGridLines="0" tabSelected="1" workbookViewId="0">
      <pane xSplit="2" ySplit="3" topLeftCell="C79" activePane="bottomRight" state="frozen"/>
      <selection pane="topRight" activeCell="C1" sqref="C1"/>
      <selection pane="bottomLeft" activeCell="A4" sqref="A4"/>
      <selection pane="bottomRight" activeCell="P90" sqref="P90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  <col min="8" max="8" width="8.88671875" bestFit="1" customWidth="1"/>
  </cols>
  <sheetData>
    <row r="1" spans="2:9" ht="18.75" customHeight="1" x14ac:dyDescent="0.3">
      <c r="B1" s="15"/>
      <c r="C1" s="14" t="s">
        <v>0</v>
      </c>
      <c r="D1" s="14"/>
    </row>
    <row r="2" spans="2:9" x14ac:dyDescent="0.3">
      <c r="C2" s="5" t="s">
        <v>1</v>
      </c>
      <c r="D2" s="5"/>
    </row>
    <row r="3" spans="2:9" ht="97.5" customHeight="1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1100</v>
      </c>
      <c r="E4" s="6" t="s">
        <v>8</v>
      </c>
      <c r="F4" s="7" t="s">
        <v>9</v>
      </c>
      <c r="H4" s="4"/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" t="s">
        <v>10</v>
      </c>
      <c r="F5" s="7"/>
      <c r="H5" s="4">
        <v>0</v>
      </c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1800</v>
      </c>
      <c r="E6" s="6" t="s">
        <v>8</v>
      </c>
      <c r="F6" s="7"/>
      <c r="H6" s="4">
        <v>0</v>
      </c>
      <c r="I6" s="1">
        <f t="shared" si="0"/>
        <v>0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 t="s">
        <v>10</v>
      </c>
      <c r="F7" s="7"/>
      <c r="H7" s="4">
        <v>0</v>
      </c>
      <c r="I7" s="1">
        <f t="shared" si="0"/>
        <v>0</v>
      </c>
    </row>
    <row r="8" spans="2:9" x14ac:dyDescent="0.3">
      <c r="B8" s="20">
        <f t="shared" si="1"/>
        <v>46247</v>
      </c>
      <c r="C8" s="4">
        <v>-1300</v>
      </c>
      <c r="D8" s="4">
        <v>0</v>
      </c>
      <c r="E8" s="6" t="s">
        <v>8</v>
      </c>
      <c r="F8" s="7"/>
      <c r="H8" s="4">
        <v>0</v>
      </c>
      <c r="I8" s="1">
        <f t="shared" si="0"/>
        <v>1300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>
        <v>0</v>
      </c>
      <c r="I9" s="1">
        <f t="shared" si="0"/>
        <v>0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>
        <v>0</v>
      </c>
      <c r="I10" s="1">
        <f t="shared" si="0"/>
        <v>0</v>
      </c>
    </row>
    <row r="11" spans="2:9" x14ac:dyDescent="0.3">
      <c r="B11" s="21" t="s">
        <v>11</v>
      </c>
      <c r="C11" s="2">
        <f>SUM(C4:C10)</f>
        <v>-1300</v>
      </c>
      <c r="D11" s="2">
        <f>SUM(D4:D10)</f>
        <v>2900</v>
      </c>
      <c r="E11" s="6"/>
      <c r="F11" s="7"/>
      <c r="H11" s="2">
        <f>SUM(H4:H10)</f>
        <v>0</v>
      </c>
      <c r="I11" s="2">
        <f>SUM(I4:I10)</f>
        <v>1300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 t="s">
        <v>10</v>
      </c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-1500</v>
      </c>
      <c r="D15" s="4">
        <v>700</v>
      </c>
      <c r="E15" s="6" t="s">
        <v>8</v>
      </c>
      <c r="F15" s="7"/>
      <c r="H15" s="4"/>
      <c r="I15" s="1">
        <f t="shared" si="2"/>
        <v>1500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/>
      <c r="I16" s="1">
        <f t="shared" si="2"/>
        <v>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-1500</v>
      </c>
      <c r="D19" s="2">
        <f>SUM(D12:D18)</f>
        <v>700</v>
      </c>
      <c r="E19" s="6"/>
      <c r="F19" s="7"/>
      <c r="H19" s="2">
        <f>SUM(H12:H18)</f>
        <v>0</v>
      </c>
      <c r="I19" s="2">
        <f>SUM(I12:I18)</f>
        <v>1500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2020</v>
      </c>
      <c r="E22" s="6" t="s">
        <v>8</v>
      </c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-820</v>
      </c>
      <c r="D23" s="4">
        <v>0</v>
      </c>
      <c r="E23" s="6" t="s">
        <v>8</v>
      </c>
      <c r="F23" s="7"/>
      <c r="H23" s="4"/>
      <c r="I23" s="1">
        <f t="shared" si="4"/>
        <v>820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/>
      <c r="I24" s="1">
        <f t="shared" si="4"/>
        <v>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/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-800</v>
      </c>
      <c r="D26" s="4">
        <v>0</v>
      </c>
      <c r="E26" s="6"/>
      <c r="F26" s="7"/>
      <c r="H26" s="4"/>
      <c r="I26" s="1">
        <f t="shared" si="4"/>
        <v>800</v>
      </c>
    </row>
    <row r="27" spans="2:9" x14ac:dyDescent="0.3">
      <c r="B27" s="21" t="s">
        <v>11</v>
      </c>
      <c r="C27" s="2">
        <f>SUM(C20:C26)</f>
        <v>-1620</v>
      </c>
      <c r="D27" s="2">
        <f>SUM(D20:D26)</f>
        <v>2020</v>
      </c>
      <c r="E27" s="6"/>
      <c r="F27" s="7"/>
      <c r="H27" s="2">
        <f>SUM(H20:H26)</f>
        <v>0</v>
      </c>
      <c r="I27" s="2">
        <f>SUM(I20:I26)</f>
        <v>1620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/>
      <c r="I28" s="1">
        <f>H28-C28</f>
        <v>0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/>
      <c r="I29" s="1">
        <f t="shared" ref="I29:I34" si="6">H29-C29</f>
        <v>0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/>
      <c r="I30" s="1">
        <f t="shared" si="6"/>
        <v>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/>
      <c r="I31" s="1">
        <f t="shared" si="6"/>
        <v>0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/>
      <c r="I32" s="1">
        <f t="shared" si="6"/>
        <v>0</v>
      </c>
    </row>
    <row r="33" spans="1:9" x14ac:dyDescent="0.3">
      <c r="B33" s="20">
        <f t="shared" si="7"/>
        <v>46269</v>
      </c>
      <c r="C33" s="4">
        <v>-1250</v>
      </c>
      <c r="D33" s="4">
        <v>2450</v>
      </c>
      <c r="E33" s="6" t="s">
        <v>8</v>
      </c>
      <c r="F33" s="7"/>
      <c r="H33" s="4"/>
      <c r="I33" s="1">
        <f t="shared" si="6"/>
        <v>1250</v>
      </c>
    </row>
    <row r="34" spans="1:9" ht="15" thickBot="1" x14ac:dyDescent="0.35">
      <c r="B34" s="20">
        <f t="shared" si="7"/>
        <v>46270</v>
      </c>
      <c r="C34" s="4">
        <v>-300</v>
      </c>
      <c r="D34" s="4">
        <v>0</v>
      </c>
      <c r="E34" s="6" t="s">
        <v>8</v>
      </c>
      <c r="F34" s="7"/>
      <c r="H34" s="4"/>
      <c r="I34" s="1">
        <f t="shared" si="6"/>
        <v>300</v>
      </c>
    </row>
    <row r="35" spans="1:9" x14ac:dyDescent="0.3">
      <c r="B35" s="19" t="s">
        <v>11</v>
      </c>
      <c r="C35" s="2">
        <f>SUM(C28:C34)</f>
        <v>-1550</v>
      </c>
      <c r="D35" s="2">
        <f>SUM(D28:D34)</f>
        <v>2450</v>
      </c>
      <c r="E35" s="6"/>
      <c r="F35" s="7"/>
      <c r="H35" s="2">
        <f t="shared" ref="H35:I35" si="8">SUM(H28:H34)</f>
        <v>0</v>
      </c>
      <c r="I35" s="2">
        <f t="shared" si="8"/>
        <v>1550</v>
      </c>
    </row>
    <row r="36" spans="1:9" x14ac:dyDescent="0.3">
      <c r="B36" s="19" t="s">
        <v>12</v>
      </c>
      <c r="C36" s="3">
        <f>SUM(C35+C27+C19+C11)</f>
        <v>-5970</v>
      </c>
      <c r="D36" s="3">
        <f>SUM(D35+D27+D19+D11)</f>
        <v>8070</v>
      </c>
      <c r="E36" s="6"/>
      <c r="F36" s="7"/>
      <c r="H36" s="3">
        <f t="shared" ref="H36:I36" si="9">SUM(H35+H27+H19+H11)</f>
        <v>0</v>
      </c>
      <c r="I36" s="3">
        <f t="shared" si="9"/>
        <v>5970</v>
      </c>
    </row>
    <row r="37" spans="1:9" ht="15" thickBot="1" x14ac:dyDescent="0.35">
      <c r="B37" s="19" t="s">
        <v>13</v>
      </c>
      <c r="C37" s="1">
        <f>D36+C36</f>
        <v>2100</v>
      </c>
      <c r="E37" s="24"/>
      <c r="F37" s="25"/>
      <c r="H37" s="1">
        <f t="shared" ref="H37:I37" si="10">I36+H36</f>
        <v>5970</v>
      </c>
      <c r="I37" s="1">
        <f t="shared" si="10"/>
        <v>5970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2100</v>
      </c>
      <c r="E39" s="6" t="s">
        <v>8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8</v>
      </c>
      <c r="F48" s="7" t="s">
        <v>21</v>
      </c>
      <c r="H48" s="4">
        <v>60</v>
      </c>
      <c r="I48" s="1">
        <f>H48-C48</f>
        <v>60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8</v>
      </c>
      <c r="F49" s="7"/>
      <c r="H49" s="4">
        <v>11</v>
      </c>
      <c r="I49" s="1">
        <f t="shared" ref="I49:I54" si="11">H49-C49</f>
        <v>11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8</v>
      </c>
      <c r="F50" s="7"/>
      <c r="H50" s="4">
        <v>17</v>
      </c>
      <c r="I50" s="1">
        <f t="shared" si="11"/>
        <v>17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 t="s">
        <v>8</v>
      </c>
      <c r="F51" s="7"/>
      <c r="H51" s="4">
        <v>-30</v>
      </c>
      <c r="I51" s="1">
        <f t="shared" si="11"/>
        <v>-30</v>
      </c>
    </row>
    <row r="52" spans="1:9" x14ac:dyDescent="0.3">
      <c r="A52" s="41"/>
      <c r="B52" s="41" t="s">
        <v>25</v>
      </c>
      <c r="C52" s="4">
        <v>0</v>
      </c>
      <c r="D52" s="4">
        <v>2020</v>
      </c>
      <c r="E52" s="6" t="s">
        <v>8</v>
      </c>
      <c r="F52" s="7"/>
      <c r="H52" s="4">
        <v>-13</v>
      </c>
      <c r="I52" s="1">
        <f t="shared" si="11"/>
        <v>-13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8</v>
      </c>
      <c r="F53" s="7"/>
      <c r="H53" s="4">
        <v>-7</v>
      </c>
      <c r="I53" s="1">
        <f t="shared" si="11"/>
        <v>-7</v>
      </c>
    </row>
    <row r="54" spans="1:9" x14ac:dyDescent="0.3">
      <c r="A54" s="41"/>
      <c r="B54" s="41" t="s">
        <v>27</v>
      </c>
      <c r="C54" s="4">
        <v>0</v>
      </c>
      <c r="D54" s="4">
        <v>0</v>
      </c>
      <c r="E54" s="6" t="s">
        <v>28</v>
      </c>
      <c r="F54" s="7"/>
      <c r="H54" s="4">
        <v>-49</v>
      </c>
      <c r="I54" s="1">
        <f t="shared" si="11"/>
        <v>-49</v>
      </c>
    </row>
    <row r="55" spans="1:9" x14ac:dyDescent="0.3">
      <c r="A55" s="41"/>
      <c r="B55" s="41" t="s">
        <v>29</v>
      </c>
      <c r="C55" s="2"/>
      <c r="D55" s="2">
        <f>SUM(D48:D54)</f>
        <v>2020</v>
      </c>
      <c r="E55" s="6"/>
      <c r="F55" s="7"/>
      <c r="H55" s="2">
        <f>SUM(H48:H54)</f>
        <v>-11</v>
      </c>
      <c r="I55" s="2">
        <f>SUM(I48:I54)</f>
        <v>-11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28</v>
      </c>
      <c r="F56" s="7"/>
      <c r="H56" s="4">
        <v>51</v>
      </c>
      <c r="I56" s="1">
        <f>H56-C56</f>
        <v>51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10</v>
      </c>
      <c r="F57" s="7"/>
      <c r="H57" s="4">
        <v>-81</v>
      </c>
      <c r="I57" s="1">
        <f t="shared" ref="I57:I58" si="12">H57-C57</f>
        <v>-81</v>
      </c>
    </row>
    <row r="58" spans="1:9" x14ac:dyDescent="0.3">
      <c r="A58" s="41"/>
      <c r="B58" s="41" t="s">
        <v>32</v>
      </c>
      <c r="C58" s="4">
        <v>2100</v>
      </c>
      <c r="D58" s="4">
        <v>0</v>
      </c>
      <c r="E58" s="6" t="s">
        <v>10</v>
      </c>
      <c r="F58" s="7" t="s">
        <v>33</v>
      </c>
      <c r="H58" s="4">
        <v>2203</v>
      </c>
      <c r="I58" s="1">
        <f t="shared" si="12"/>
        <v>103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10</v>
      </c>
      <c r="F59" s="7"/>
      <c r="H59" s="4">
        <v>-14</v>
      </c>
      <c r="I59" s="1">
        <f t="shared" ref="I59:I62" si="13">H59-C59</f>
        <v>-14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10</v>
      </c>
      <c r="F60" s="7"/>
      <c r="H60" s="4">
        <v>34</v>
      </c>
      <c r="I60" s="1">
        <f t="shared" si="13"/>
        <v>34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8</v>
      </c>
      <c r="F61" s="7"/>
      <c r="H61" s="4">
        <v>26</v>
      </c>
      <c r="I61" s="1">
        <f t="shared" si="13"/>
        <v>26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8</v>
      </c>
      <c r="F62" s="7"/>
      <c r="H62" s="4">
        <v>-49</v>
      </c>
      <c r="I62" s="1">
        <f t="shared" si="13"/>
        <v>-49</v>
      </c>
    </row>
    <row r="63" spans="1:9" x14ac:dyDescent="0.3">
      <c r="A63" s="41"/>
      <c r="B63" s="41" t="s">
        <v>29</v>
      </c>
      <c r="C63" s="2">
        <f>SUM(C56:C62)</f>
        <v>2100</v>
      </c>
      <c r="D63" s="2">
        <v>0</v>
      </c>
      <c r="E63" s="6"/>
      <c r="F63" s="7"/>
      <c r="H63" s="2">
        <f>SUM(H56:H62)</f>
        <v>2170</v>
      </c>
      <c r="I63" s="2">
        <f>SUM(I56:I62)</f>
        <v>70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10</v>
      </c>
      <c r="F64" s="7"/>
      <c r="H64" s="4">
        <v>38</v>
      </c>
      <c r="I64" s="1">
        <f>H64-C64</f>
        <v>38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10</v>
      </c>
      <c r="F65" s="7"/>
      <c r="H65" s="4">
        <v>97.55</v>
      </c>
      <c r="I65" s="1">
        <f t="shared" ref="I65:I70" si="14">H65-C65</f>
        <v>97.55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10</v>
      </c>
      <c r="F66" s="7"/>
      <c r="H66" s="4">
        <v>-89</v>
      </c>
      <c r="I66" s="1">
        <f t="shared" si="14"/>
        <v>-89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10</v>
      </c>
      <c r="F67" s="7"/>
      <c r="H67" s="4">
        <v>25</v>
      </c>
      <c r="I67" s="1">
        <v>25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8</v>
      </c>
      <c r="F68" s="7" t="s">
        <v>43</v>
      </c>
      <c r="H68" s="4">
        <v>81</v>
      </c>
      <c r="I68" s="1">
        <f t="shared" si="14"/>
        <v>81</v>
      </c>
    </row>
    <row r="69" spans="1:9" x14ac:dyDescent="0.3">
      <c r="A69" s="41"/>
      <c r="B69" s="41" t="s">
        <v>44</v>
      </c>
      <c r="C69" s="4">
        <v>1400</v>
      </c>
      <c r="D69" s="4">
        <v>1920</v>
      </c>
      <c r="E69" s="6" t="s">
        <v>8</v>
      </c>
      <c r="F69" s="7"/>
      <c r="H69" s="4">
        <v>1324</v>
      </c>
      <c r="I69" s="1">
        <f t="shared" si="14"/>
        <v>-76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10</v>
      </c>
      <c r="F70" s="7"/>
      <c r="H70" s="4">
        <v>-29.51</v>
      </c>
      <c r="I70" s="1">
        <f t="shared" si="14"/>
        <v>-29.51</v>
      </c>
    </row>
    <row r="71" spans="1:9" x14ac:dyDescent="0.3">
      <c r="A71" s="41"/>
      <c r="B71" s="41" t="s">
        <v>29</v>
      </c>
      <c r="C71" s="2">
        <f>SUM(C64:C70)</f>
        <v>1400</v>
      </c>
      <c r="D71" s="2">
        <f>SUM(D64:D70)</f>
        <v>1920</v>
      </c>
      <c r="E71" s="6"/>
      <c r="F71" s="7"/>
      <c r="H71" s="2">
        <f>SUM(H64:H70)</f>
        <v>1447.04</v>
      </c>
      <c r="I71" s="2">
        <f>SUM(I64:I70)</f>
        <v>47.040000000000006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10</v>
      </c>
      <c r="F72" s="7"/>
      <c r="H72" s="4">
        <v>-19.82</v>
      </c>
      <c r="I72" s="1">
        <f>H72-C72</f>
        <v>-19.82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10</v>
      </c>
      <c r="F73" s="7"/>
      <c r="H73" s="4">
        <v>-16.420000000000002</v>
      </c>
      <c r="I73" s="1">
        <f t="shared" ref="I73:I78" si="15">H73-C73</f>
        <v>-16.420000000000002</v>
      </c>
    </row>
    <row r="74" spans="1:9" x14ac:dyDescent="0.3">
      <c r="A74" s="41"/>
      <c r="B74" s="41" t="s">
        <v>48</v>
      </c>
      <c r="C74" s="4">
        <v>0</v>
      </c>
      <c r="D74" s="4">
        <v>1400</v>
      </c>
      <c r="E74" s="6" t="s">
        <v>28</v>
      </c>
      <c r="F74" s="7" t="s">
        <v>49</v>
      </c>
      <c r="H74" s="4">
        <v>32.35</v>
      </c>
      <c r="I74" s="1">
        <f t="shared" si="15"/>
        <v>32.35</v>
      </c>
    </row>
    <row r="75" spans="1:9" x14ac:dyDescent="0.3">
      <c r="A75" s="41"/>
      <c r="B75" s="41" t="s">
        <v>50</v>
      </c>
      <c r="C75" s="4">
        <v>1240</v>
      </c>
      <c r="D75" s="4">
        <v>0</v>
      </c>
      <c r="E75" s="6" t="s">
        <v>10</v>
      </c>
      <c r="F75" s="7"/>
      <c r="H75" s="4">
        <v>1234</v>
      </c>
      <c r="I75" s="1">
        <f t="shared" si="15"/>
        <v>-6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8</v>
      </c>
      <c r="F76" s="7"/>
      <c r="H76" s="4">
        <v>21</v>
      </c>
      <c r="I76" s="1">
        <f t="shared" si="15"/>
        <v>21</v>
      </c>
    </row>
    <row r="77" spans="1:9" x14ac:dyDescent="0.3">
      <c r="A77" s="41"/>
      <c r="B77" s="41" t="s">
        <v>52</v>
      </c>
      <c r="C77" s="4"/>
      <c r="D77" s="4">
        <v>0</v>
      </c>
      <c r="E77" s="6" t="s">
        <v>8</v>
      </c>
      <c r="F77" s="7" t="s">
        <v>53</v>
      </c>
      <c r="H77" s="4">
        <v>0</v>
      </c>
      <c r="I77" s="1">
        <f t="shared" si="15"/>
        <v>0</v>
      </c>
    </row>
    <row r="78" spans="1:9" x14ac:dyDescent="0.3">
      <c r="A78" s="41"/>
      <c r="B78" s="41" t="s">
        <v>54</v>
      </c>
      <c r="C78" s="4">
        <v>1200</v>
      </c>
      <c r="D78" s="4">
        <v>0</v>
      </c>
      <c r="E78" s="6" t="s">
        <v>8</v>
      </c>
      <c r="F78" s="7"/>
      <c r="H78" s="4">
        <v>1165</v>
      </c>
      <c r="I78" s="1">
        <f t="shared" si="15"/>
        <v>-35</v>
      </c>
    </row>
    <row r="79" spans="1:9" x14ac:dyDescent="0.3">
      <c r="A79" s="41"/>
      <c r="B79" s="41" t="s">
        <v>11</v>
      </c>
      <c r="C79" s="2">
        <f>SUM(C72:C78)</f>
        <v>2440</v>
      </c>
      <c r="D79" s="2">
        <f>SUM(D72:D78)</f>
        <v>1400</v>
      </c>
      <c r="E79" s="6"/>
      <c r="F79" s="7"/>
      <c r="H79" s="2">
        <f t="shared" ref="H79:I79" si="16">SUM(H72:H78)</f>
        <v>2416.1099999999997</v>
      </c>
      <c r="I79" s="2">
        <f t="shared" si="16"/>
        <v>-23.89</v>
      </c>
    </row>
    <row r="80" spans="1:9" x14ac:dyDescent="0.3">
      <c r="A80" s="41"/>
      <c r="B80" s="41" t="s">
        <v>12</v>
      </c>
      <c r="C80" s="3">
        <f>SUM(C79+C71+C63+C55)</f>
        <v>5940</v>
      </c>
      <c r="D80" s="3">
        <f>SUM(D79+D71+D63+D55)</f>
        <v>5340</v>
      </c>
      <c r="E80" s="6"/>
      <c r="F80" s="7"/>
      <c r="H80" s="3">
        <f t="shared" ref="H80:I80" si="17">SUM(H79+H71+H63+H55)</f>
        <v>6022.15</v>
      </c>
      <c r="I80" s="3">
        <f t="shared" si="17"/>
        <v>82.15</v>
      </c>
    </row>
    <row r="81" spans="1:9" x14ac:dyDescent="0.3">
      <c r="A81" s="41"/>
      <c r="B81" s="41" t="s">
        <v>13</v>
      </c>
      <c r="C81" s="1">
        <f>D80-C80</f>
        <v>-600</v>
      </c>
      <c r="E81" s="24"/>
      <c r="F81" s="25"/>
      <c r="H81" s="1">
        <f t="shared" ref="H81" si="18">I80+H80</f>
        <v>6104.2999999999993</v>
      </c>
      <c r="I81" s="1">
        <f t="shared" ref="I81" si="19">J80+I80</f>
        <v>82.15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1500</v>
      </c>
      <c r="D83" s="41"/>
      <c r="E83" s="43" t="s">
        <v>8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8</v>
      </c>
      <c r="F92" s="7" t="s">
        <v>59</v>
      </c>
      <c r="H92" s="4">
        <v>95</v>
      </c>
      <c r="I92" s="1">
        <f>H92-C92</f>
        <v>95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8</v>
      </c>
      <c r="F93" s="7"/>
      <c r="H93" s="4">
        <v>-138</v>
      </c>
      <c r="I93" s="1">
        <f t="shared" ref="I93:I98" si="20">H93-C93</f>
        <v>-138</v>
      </c>
    </row>
    <row r="94" spans="1:9" x14ac:dyDescent="0.3">
      <c r="A94" s="41"/>
      <c r="B94" s="41" t="s">
        <v>61</v>
      </c>
      <c r="C94" s="4">
        <v>0</v>
      </c>
      <c r="D94" s="4">
        <v>1525</v>
      </c>
      <c r="E94" s="6" t="s">
        <v>8</v>
      </c>
      <c r="F94" s="7" t="s">
        <v>62</v>
      </c>
      <c r="H94" s="4">
        <v>-8</v>
      </c>
      <c r="I94" s="1">
        <f t="shared" si="20"/>
        <v>-8</v>
      </c>
    </row>
    <row r="95" spans="1:9" x14ac:dyDescent="0.3">
      <c r="A95" s="41"/>
      <c r="B95" s="41" t="s">
        <v>63</v>
      </c>
      <c r="C95" s="4">
        <v>1125</v>
      </c>
      <c r="D95" s="4">
        <v>0</v>
      </c>
      <c r="E95" s="6" t="s">
        <v>8</v>
      </c>
      <c r="F95" s="7"/>
      <c r="H95" s="4">
        <v>1107</v>
      </c>
      <c r="I95" s="1">
        <f t="shared" si="20"/>
        <v>-18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28</v>
      </c>
      <c r="F96" s="7"/>
      <c r="H96" s="4">
        <v>2</v>
      </c>
      <c r="I96" s="1">
        <f t="shared" si="20"/>
        <v>2</v>
      </c>
    </row>
    <row r="97" spans="1:9" x14ac:dyDescent="0.3">
      <c r="A97" s="41"/>
      <c r="B97" s="41" t="s">
        <v>65</v>
      </c>
      <c r="C97" s="4">
        <v>0</v>
      </c>
      <c r="D97" s="4">
        <v>0</v>
      </c>
      <c r="E97" s="6" t="s">
        <v>28</v>
      </c>
      <c r="F97" s="7"/>
      <c r="H97" s="4">
        <v>4</v>
      </c>
      <c r="I97" s="1">
        <f t="shared" si="20"/>
        <v>4</v>
      </c>
    </row>
    <row r="98" spans="1:9" x14ac:dyDescent="0.3">
      <c r="A98" s="41"/>
      <c r="B98" s="41" t="s">
        <v>66</v>
      </c>
      <c r="C98" s="4">
        <v>0</v>
      </c>
      <c r="D98" s="4">
        <v>0</v>
      </c>
      <c r="E98" s="6" t="s">
        <v>8</v>
      </c>
      <c r="F98" s="7"/>
      <c r="H98" s="4">
        <v>-4</v>
      </c>
      <c r="I98" s="1">
        <f t="shared" si="20"/>
        <v>-4</v>
      </c>
    </row>
    <row r="99" spans="1:9" x14ac:dyDescent="0.3">
      <c r="A99" s="41"/>
      <c r="B99" s="41" t="s">
        <v>29</v>
      </c>
      <c r="C99" s="2">
        <f>SUM(C92:C98)</f>
        <v>1125</v>
      </c>
      <c r="D99" s="2">
        <f>SUM(D92:D98)</f>
        <v>1525</v>
      </c>
      <c r="E99" s="6"/>
      <c r="F99" s="7"/>
      <c r="H99" s="2">
        <f>SUM(H92:H98)</f>
        <v>1058</v>
      </c>
      <c r="I99" s="2">
        <f>SUM(I92:I98)</f>
        <v>-67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"/>
      <c r="F100" s="7"/>
      <c r="H100" s="4">
        <v>0</v>
      </c>
      <c r="I100" s="1">
        <f>H100-C100</f>
        <v>0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21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21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21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21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21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21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0</v>
      </c>
      <c r="I107" s="2">
        <f>SUM(I100:I106)</f>
        <v>0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2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2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2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2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2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2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3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3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3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3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3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23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4">SUM(H116:H122)</f>
        <v>0</v>
      </c>
      <c r="I123" s="2">
        <f t="shared" si="24"/>
        <v>0</v>
      </c>
    </row>
    <row r="124" spans="1:9" x14ac:dyDescent="0.3">
      <c r="A124" s="41"/>
      <c r="B124" s="41" t="s">
        <v>12</v>
      </c>
      <c r="C124" s="3">
        <f>SUM(C123+C115+C107+C99)</f>
        <v>1125</v>
      </c>
      <c r="D124" s="3">
        <f>SUM(D123+D115+D107+D99)</f>
        <v>1525</v>
      </c>
      <c r="E124" s="6"/>
      <c r="F124" s="7"/>
      <c r="H124" s="3">
        <f t="shared" ref="H124:I124" si="25">SUM(H123+H115+H107+H99)</f>
        <v>1058</v>
      </c>
      <c r="I124" s="3">
        <f t="shared" si="25"/>
        <v>-67</v>
      </c>
    </row>
    <row r="125" spans="1:9" x14ac:dyDescent="0.3">
      <c r="A125" s="41"/>
      <c r="B125" s="41" t="s">
        <v>13</v>
      </c>
      <c r="C125" s="1">
        <f>D124+C124</f>
        <v>2650</v>
      </c>
      <c r="E125" s="24"/>
      <c r="F125" s="25"/>
      <c r="H125" s="1">
        <f t="shared" ref="H125" si="26">I124+H124</f>
        <v>991</v>
      </c>
      <c r="I125" s="1">
        <f t="shared" ref="I125" si="27">J124+I124</f>
        <v>-67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8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8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8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8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8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8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9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9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9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9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9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9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0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30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30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30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30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30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1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31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31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31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31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31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2">SUM(H160:H166)</f>
        <v>0</v>
      </c>
      <c r="I167" s="2">
        <f t="shared" si="32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3">SUM(H167+H159+H151+H143)</f>
        <v>0</v>
      </c>
      <c r="I168" s="3">
        <f t="shared" si="33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" si="34">I168+H168</f>
        <v>0</v>
      </c>
      <c r="I169" s="1">
        <f t="shared" ref="I169" si="35">J168+I168</f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6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6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6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6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6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6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7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7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7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7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7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7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8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8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8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8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8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8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9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9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9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9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9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9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0">SUM(H204:H210)</f>
        <v>0</v>
      </c>
      <c r="I211" s="2">
        <f t="shared" si="40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1">SUM(H211+H203+H195+H187)</f>
        <v>0</v>
      </c>
      <c r="I212" s="3">
        <f t="shared" si="41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" si="42">I212+H212</f>
        <v>0</v>
      </c>
      <c r="I213" s="1">
        <f t="shared" ref="I213" si="43">J212+I212</f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2441-C11E-41FC-8D43-32235957F2C8}">
  <sheetPr codeName="Sheet2"/>
  <dimension ref="A1:I222"/>
  <sheetViews>
    <sheetView showGridLines="0" workbookViewId="0">
      <pane xSplit="5" ySplit="3" topLeftCell="F93" activePane="bottomRight" state="frozen"/>
      <selection pane="topRight" activeCell="B4" sqref="B4"/>
      <selection pane="bottomLeft" activeCell="B4" sqref="B4"/>
      <selection pane="bottomRight" activeCell="F75" sqref="F75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2.44140625" customWidth="1"/>
  </cols>
  <sheetData>
    <row r="1" spans="2:9" ht="18.75" customHeight="1" x14ac:dyDescent="0.3">
      <c r="B1" s="15"/>
      <c r="C1" s="14" t="s">
        <v>147</v>
      </c>
      <c r="D1" s="14"/>
    </row>
    <row r="2" spans="2:9" x14ac:dyDescent="0.3">
      <c r="C2" s="5" t="s">
        <v>1</v>
      </c>
      <c r="D2" s="5"/>
    </row>
    <row r="3" spans="2:9" ht="86.4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-950</v>
      </c>
      <c r="D7" s="4">
        <v>2200</v>
      </c>
      <c r="E7" s="6" t="s">
        <v>148</v>
      </c>
      <c r="F7" s="7"/>
      <c r="H7" s="4"/>
      <c r="I7" s="1">
        <f t="shared" si="0"/>
        <v>950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-500</v>
      </c>
      <c r="D9" s="4">
        <v>0</v>
      </c>
      <c r="E9" s="6" t="s">
        <v>148</v>
      </c>
      <c r="F9" s="7"/>
      <c r="H9" s="4"/>
      <c r="I9" s="1">
        <f t="shared" si="0"/>
        <v>500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/>
      <c r="I10" s="1">
        <f t="shared" si="0"/>
        <v>0</v>
      </c>
    </row>
    <row r="11" spans="2:9" x14ac:dyDescent="0.3">
      <c r="B11" s="21" t="s">
        <v>11</v>
      </c>
      <c r="C11" s="2">
        <f>SUM(C4:C10)</f>
        <v>-1450</v>
      </c>
      <c r="D11" s="2">
        <f>SUM(D4:D10)</f>
        <v>2200</v>
      </c>
      <c r="E11" s="6"/>
      <c r="F11" s="7"/>
      <c r="H11" s="2">
        <f>SUM(H4:H10)</f>
        <v>0</v>
      </c>
      <c r="I11" s="2">
        <f>SUM(I4:I10)</f>
        <v>1450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1175</v>
      </c>
      <c r="E15" s="6" t="s">
        <v>148</v>
      </c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-1500</v>
      </c>
      <c r="D16" s="4">
        <v>0</v>
      </c>
      <c r="E16" s="6" t="s">
        <v>148</v>
      </c>
      <c r="F16" s="7"/>
      <c r="H16" s="4"/>
      <c r="I16" s="1">
        <f t="shared" si="2"/>
        <v>1500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-710</v>
      </c>
      <c r="D18" s="4">
        <v>0</v>
      </c>
      <c r="E18" s="6" t="s">
        <v>148</v>
      </c>
      <c r="F18" s="7"/>
      <c r="H18" s="4"/>
      <c r="I18" s="1">
        <f t="shared" si="2"/>
        <v>710</v>
      </c>
    </row>
    <row r="19" spans="2:9" x14ac:dyDescent="0.3">
      <c r="B19" s="21" t="s">
        <v>11</v>
      </c>
      <c r="C19" s="2">
        <f>SUM(C12:C18)</f>
        <v>-2210</v>
      </c>
      <c r="D19" s="2">
        <f>SUM(D12:D18)</f>
        <v>1175</v>
      </c>
      <c r="E19" s="6"/>
      <c r="F19" s="7"/>
      <c r="H19" s="2">
        <f>SUM(H12:H18)</f>
        <v>0</v>
      </c>
      <c r="I19" s="2">
        <f>SUM(I12:I18)</f>
        <v>2210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/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-1110</v>
      </c>
      <c r="D23" s="4">
        <v>1550</v>
      </c>
      <c r="E23" s="6" t="s">
        <v>148</v>
      </c>
      <c r="F23" s="7"/>
      <c r="H23" s="4"/>
      <c r="I23" s="1">
        <f t="shared" si="4"/>
        <v>1110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>
        <v>0</v>
      </c>
      <c r="I24" s="1">
        <f t="shared" si="4"/>
        <v>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>
        <v>0</v>
      </c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>
        <v>0</v>
      </c>
      <c r="I26" s="1">
        <f t="shared" si="4"/>
        <v>0</v>
      </c>
    </row>
    <row r="27" spans="2:9" x14ac:dyDescent="0.3">
      <c r="B27" s="21" t="s">
        <v>11</v>
      </c>
      <c r="C27" s="2">
        <f>SUM(C20:C26)</f>
        <v>-1110</v>
      </c>
      <c r="D27" s="2">
        <f>SUM(D20:D26)</f>
        <v>1550</v>
      </c>
      <c r="E27" s="6"/>
      <c r="F27" s="7"/>
      <c r="H27" s="2">
        <f>SUM(H20:H26)</f>
        <v>0</v>
      </c>
      <c r="I27" s="2">
        <f>SUM(I20:I26)</f>
        <v>1110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/>
      <c r="I28" s="1">
        <v>0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/>
      <c r="I29" s="1">
        <f t="shared" ref="I29:I34" si="6">H29-C29</f>
        <v>0</v>
      </c>
    </row>
    <row r="30" spans="2:9" x14ac:dyDescent="0.3">
      <c r="B30" s="20">
        <f t="shared" ref="B30:B34" si="7">B29+1</f>
        <v>46266</v>
      </c>
      <c r="C30" s="4"/>
      <c r="D30" s="4">
        <v>2025</v>
      </c>
      <c r="E30" s="6" t="s">
        <v>149</v>
      </c>
      <c r="F30" s="7" t="s">
        <v>150</v>
      </c>
      <c r="H30" s="4"/>
      <c r="I30" s="1">
        <f t="shared" si="6"/>
        <v>0</v>
      </c>
    </row>
    <row r="31" spans="2:9" x14ac:dyDescent="0.3">
      <c r="B31" s="20">
        <f t="shared" si="7"/>
        <v>46267</v>
      </c>
      <c r="C31" s="4">
        <v>-2210</v>
      </c>
      <c r="D31" s="4"/>
      <c r="E31" s="6" t="s">
        <v>148</v>
      </c>
      <c r="F31" s="7" t="s">
        <v>151</v>
      </c>
      <c r="H31" s="4"/>
      <c r="I31" s="1">
        <f t="shared" si="6"/>
        <v>2210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/>
      <c r="I32" s="1">
        <f t="shared" si="6"/>
        <v>0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/>
      <c r="I33" s="1">
        <f t="shared" si="6"/>
        <v>0</v>
      </c>
    </row>
    <row r="34" spans="1:9" ht="15" thickBot="1" x14ac:dyDescent="0.35">
      <c r="B34" s="20">
        <f t="shared" si="7"/>
        <v>46270</v>
      </c>
      <c r="C34" s="4">
        <v>0</v>
      </c>
      <c r="D34" s="4">
        <v>0</v>
      </c>
      <c r="E34" s="6"/>
      <c r="F34" s="7"/>
      <c r="H34" s="4"/>
      <c r="I34" s="1">
        <f t="shared" si="6"/>
        <v>0</v>
      </c>
    </row>
    <row r="35" spans="1:9" x14ac:dyDescent="0.3">
      <c r="B35" s="19" t="s">
        <v>11</v>
      </c>
      <c r="C35" s="2">
        <f>SUM(C28:C34)</f>
        <v>-2210</v>
      </c>
      <c r="D35" s="2">
        <f>SUM(D28:D34)</f>
        <v>2025</v>
      </c>
      <c r="E35" s="6"/>
      <c r="F35" s="7"/>
      <c r="H35" s="2">
        <f t="shared" ref="H35:I35" si="8">SUM(H28:H34)</f>
        <v>0</v>
      </c>
      <c r="I35" s="2">
        <f t="shared" si="8"/>
        <v>2210</v>
      </c>
    </row>
    <row r="36" spans="1:9" x14ac:dyDescent="0.3">
      <c r="B36" s="19" t="s">
        <v>12</v>
      </c>
      <c r="C36" s="3">
        <f>SUM(C35+C27+C19+C11)</f>
        <v>-6980</v>
      </c>
      <c r="D36" s="3">
        <f>SUM(D35+D27+D19+D11)</f>
        <v>6950</v>
      </c>
      <c r="E36" s="6"/>
      <c r="F36" s="7"/>
      <c r="H36" s="3">
        <f t="shared" ref="H36:I36" si="9">SUM(H35+H27+H19+H11)</f>
        <v>0</v>
      </c>
      <c r="I36" s="3">
        <f t="shared" si="9"/>
        <v>6980</v>
      </c>
    </row>
    <row r="37" spans="1:9" ht="15" thickBot="1" x14ac:dyDescent="0.35">
      <c r="B37" s="19" t="s">
        <v>13</v>
      </c>
      <c r="C37" s="1">
        <f>D36+C36</f>
        <v>-30</v>
      </c>
      <c r="E37" s="24"/>
      <c r="F37" s="25"/>
      <c r="H37" s="1">
        <f t="shared" ref="H37:I37" si="10">I36+H36</f>
        <v>6980</v>
      </c>
      <c r="I37" s="1">
        <f t="shared" si="10"/>
        <v>6980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1630</v>
      </c>
      <c r="E39" s="6" t="s">
        <v>148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148</v>
      </c>
      <c r="F48" s="7"/>
      <c r="H48" s="4">
        <v>-35</v>
      </c>
      <c r="I48" s="1">
        <f>H48-C48</f>
        <v>-35</v>
      </c>
    </row>
    <row r="49" spans="1:9" x14ac:dyDescent="0.3">
      <c r="A49" s="41"/>
      <c r="B49" s="41" t="s">
        <v>22</v>
      </c>
      <c r="C49" s="4">
        <v>800</v>
      </c>
      <c r="D49" s="4">
        <v>0</v>
      </c>
      <c r="E49" s="6" t="s">
        <v>148</v>
      </c>
      <c r="F49" s="7"/>
      <c r="H49" s="4">
        <v>828</v>
      </c>
      <c r="I49" s="1">
        <f t="shared" ref="I49:I54" si="11">H49-C49</f>
        <v>28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152</v>
      </c>
      <c r="F50" s="7"/>
      <c r="H50" s="4">
        <v>1.18</v>
      </c>
      <c r="I50" s="1">
        <f t="shared" si="11"/>
        <v>1.18</v>
      </c>
    </row>
    <row r="51" spans="1:9" x14ac:dyDescent="0.3">
      <c r="A51" s="41"/>
      <c r="B51" s="41" t="s">
        <v>24</v>
      </c>
      <c r="C51" s="4">
        <v>700</v>
      </c>
      <c r="D51" s="4">
        <v>2150</v>
      </c>
      <c r="E51" s="6" t="s">
        <v>148</v>
      </c>
      <c r="F51" s="7" t="s">
        <v>153</v>
      </c>
      <c r="H51" s="4">
        <v>676.53</v>
      </c>
      <c r="I51" s="1">
        <f t="shared" si="11"/>
        <v>-23.470000000000027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 t="s">
        <v>148</v>
      </c>
      <c r="F52" s="7"/>
      <c r="H52" s="4">
        <v>25.83</v>
      </c>
      <c r="I52" s="1">
        <f t="shared" si="11"/>
        <v>25.83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148</v>
      </c>
      <c r="F53" s="7"/>
      <c r="H53" s="4">
        <v>-29</v>
      </c>
      <c r="I53" s="1">
        <f t="shared" si="11"/>
        <v>-29</v>
      </c>
    </row>
    <row r="54" spans="1:9" x14ac:dyDescent="0.3">
      <c r="A54" s="41"/>
      <c r="B54" s="41" t="s">
        <v>27</v>
      </c>
      <c r="C54" s="4">
        <v>850</v>
      </c>
      <c r="D54" s="4">
        <v>0</v>
      </c>
      <c r="E54" s="6" t="s">
        <v>148</v>
      </c>
      <c r="F54" s="7" t="s">
        <v>154</v>
      </c>
      <c r="H54" s="4">
        <v>766.22</v>
      </c>
      <c r="I54" s="1">
        <f t="shared" si="11"/>
        <v>-83.779999999999973</v>
      </c>
    </row>
    <row r="55" spans="1:9" x14ac:dyDescent="0.3">
      <c r="A55" s="41"/>
      <c r="B55" s="41" t="s">
        <v>29</v>
      </c>
      <c r="C55" s="2">
        <f>SUM(C48:C54)</f>
        <v>2350</v>
      </c>
      <c r="D55" s="2">
        <f>SUM(D48:D54)</f>
        <v>2150</v>
      </c>
      <c r="E55" s="6"/>
      <c r="F55" s="7"/>
      <c r="H55" s="2">
        <f>SUM(H48:H54)</f>
        <v>2233.7600000000002</v>
      </c>
      <c r="I55" s="2">
        <f>SUM(I48:I54)</f>
        <v>-116.24000000000001</v>
      </c>
    </row>
    <row r="56" spans="1:9" x14ac:dyDescent="0.3">
      <c r="A56" s="41"/>
      <c r="B56" s="41" t="s">
        <v>30</v>
      </c>
      <c r="C56" s="4"/>
      <c r="D56" s="4">
        <v>0</v>
      </c>
      <c r="E56" s="6" t="s">
        <v>148</v>
      </c>
      <c r="F56" s="7"/>
      <c r="H56" s="4">
        <v>31</v>
      </c>
      <c r="I56" s="1">
        <f>H56-C56</f>
        <v>31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152</v>
      </c>
      <c r="F57" s="7"/>
      <c r="H57" s="4">
        <v>26</v>
      </c>
      <c r="I57" s="1">
        <f t="shared" ref="I57:I62" si="12">H57-C57</f>
        <v>26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" t="s">
        <v>152</v>
      </c>
      <c r="F58" s="7"/>
      <c r="H58" s="4">
        <v>12</v>
      </c>
      <c r="I58" s="1">
        <f t="shared" si="12"/>
        <v>12</v>
      </c>
    </row>
    <row r="59" spans="1:9" x14ac:dyDescent="0.3">
      <c r="A59" s="41"/>
      <c r="B59" s="41" t="s">
        <v>34</v>
      </c>
      <c r="C59" s="4">
        <v>1080</v>
      </c>
      <c r="D59" s="4">
        <v>2175</v>
      </c>
      <c r="E59" s="6" t="s">
        <v>148</v>
      </c>
      <c r="F59" s="7" t="s">
        <v>155</v>
      </c>
      <c r="H59" s="4">
        <v>1044.92</v>
      </c>
      <c r="I59" s="1">
        <f t="shared" si="12"/>
        <v>-35.079999999999927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148</v>
      </c>
      <c r="F60" s="7"/>
      <c r="H60" s="4">
        <v>-15.66</v>
      </c>
      <c r="I60" s="1">
        <f t="shared" si="12"/>
        <v>-15.66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148</v>
      </c>
      <c r="F61" s="7"/>
      <c r="H61" s="4">
        <v>52.39</v>
      </c>
      <c r="I61" s="1">
        <f t="shared" si="12"/>
        <v>52.39</v>
      </c>
    </row>
    <row r="62" spans="1:9" x14ac:dyDescent="0.3">
      <c r="A62" s="41"/>
      <c r="B62" s="41" t="s">
        <v>37</v>
      </c>
      <c r="C62" s="4">
        <v>820</v>
      </c>
      <c r="D62" s="4">
        <v>0</v>
      </c>
      <c r="E62" s="6" t="s">
        <v>148</v>
      </c>
      <c r="F62" s="7" t="s">
        <v>154</v>
      </c>
      <c r="H62" s="4">
        <v>755</v>
      </c>
      <c r="I62" s="1">
        <f t="shared" si="12"/>
        <v>-65</v>
      </c>
    </row>
    <row r="63" spans="1:9" x14ac:dyDescent="0.3">
      <c r="A63" s="41"/>
      <c r="B63" s="41" t="s">
        <v>29</v>
      </c>
      <c r="C63" s="2">
        <f>SUM(C56:C62)</f>
        <v>1900</v>
      </c>
      <c r="D63" s="2">
        <f>SUM(D56:D62)</f>
        <v>2175</v>
      </c>
      <c r="E63" s="6"/>
      <c r="F63" s="7"/>
      <c r="H63" s="2">
        <f>SUM(H56:H62)</f>
        <v>1905.65</v>
      </c>
      <c r="I63" s="2">
        <f>SUM(I56:I62)</f>
        <v>5.6500000000000767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149</v>
      </c>
      <c r="F64" s="7"/>
      <c r="H64" s="4">
        <v>18.61</v>
      </c>
      <c r="I64" s="1">
        <f>H64-C64</f>
        <v>18.61</v>
      </c>
    </row>
    <row r="65" spans="1:9" x14ac:dyDescent="0.3">
      <c r="A65" s="41"/>
      <c r="B65" s="41" t="s">
        <v>39</v>
      </c>
      <c r="C65" s="4">
        <v>0</v>
      </c>
      <c r="D65" s="4"/>
      <c r="E65" s="6" t="s">
        <v>152</v>
      </c>
      <c r="F65" s="7" t="s">
        <v>156</v>
      </c>
      <c r="H65" s="4">
        <v>16</v>
      </c>
      <c r="I65" s="1">
        <f t="shared" ref="I65:I70" si="13">H65-C65</f>
        <v>16</v>
      </c>
    </row>
    <row r="66" spans="1:9" x14ac:dyDescent="0.3">
      <c r="A66" s="41"/>
      <c r="B66" s="41" t="s">
        <v>40</v>
      </c>
      <c r="C66" s="4">
        <v>0</v>
      </c>
      <c r="D66" s="4">
        <v>2250</v>
      </c>
      <c r="E66" s="6" t="s">
        <v>149</v>
      </c>
      <c r="F66" s="7" t="s">
        <v>157</v>
      </c>
      <c r="H66" s="4">
        <v>30.33</v>
      </c>
      <c r="I66" s="1">
        <f t="shared" si="13"/>
        <v>30.33</v>
      </c>
    </row>
    <row r="67" spans="1:9" x14ac:dyDescent="0.3">
      <c r="A67" s="41"/>
      <c r="B67" s="41" t="s">
        <v>41</v>
      </c>
      <c r="C67" s="4">
        <v>1230</v>
      </c>
      <c r="D67" s="4">
        <v>0</v>
      </c>
      <c r="E67" s="6" t="s">
        <v>148</v>
      </c>
      <c r="F67" s="7" t="s">
        <v>154</v>
      </c>
      <c r="H67" s="4">
        <v>1159.9100000000001</v>
      </c>
      <c r="I67" s="1">
        <f t="shared" si="13"/>
        <v>-70.089999999999918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148</v>
      </c>
      <c r="F68" s="7" t="s">
        <v>158</v>
      </c>
      <c r="H68" s="4">
        <v>-53.34</v>
      </c>
      <c r="I68" s="1">
        <f t="shared" si="13"/>
        <v>-53.34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148</v>
      </c>
      <c r="F69" s="7" t="s">
        <v>159</v>
      </c>
      <c r="H69" s="4">
        <v>-20.16</v>
      </c>
      <c r="I69" s="1">
        <f t="shared" si="13"/>
        <v>-20.16</v>
      </c>
    </row>
    <row r="70" spans="1:9" x14ac:dyDescent="0.3">
      <c r="A70" s="41"/>
      <c r="B70" s="41" t="s">
        <v>45</v>
      </c>
      <c r="C70" s="4">
        <v>800</v>
      </c>
      <c r="D70" s="4">
        <v>0</v>
      </c>
      <c r="E70" s="6" t="s">
        <v>148</v>
      </c>
      <c r="F70" s="7" t="s">
        <v>160</v>
      </c>
      <c r="H70" s="4">
        <v>815.93</v>
      </c>
      <c r="I70" s="1">
        <f t="shared" si="13"/>
        <v>15.92999999999995</v>
      </c>
    </row>
    <row r="71" spans="1:9" x14ac:dyDescent="0.3">
      <c r="A71" s="41"/>
      <c r="B71" s="41" t="s">
        <v>29</v>
      </c>
      <c r="C71" s="2">
        <f>SUM(C64:C70)</f>
        <v>2030</v>
      </c>
      <c r="D71" s="2">
        <f>SUM(D64:D70)</f>
        <v>2250</v>
      </c>
      <c r="E71" s="6"/>
      <c r="F71" s="7"/>
      <c r="H71" s="2">
        <f>SUM(H64:H70)</f>
        <v>1967.2800000000002</v>
      </c>
      <c r="I71" s="2">
        <f>SUM(I64:I70)</f>
        <v>-62.71999999999997</v>
      </c>
    </row>
    <row r="72" spans="1:9" x14ac:dyDescent="0.3">
      <c r="A72" s="41"/>
      <c r="B72" s="41" t="s">
        <v>46</v>
      </c>
      <c r="C72" s="4"/>
      <c r="D72" s="4">
        <v>0</v>
      </c>
      <c r="E72" s="6" t="s">
        <v>152</v>
      </c>
      <c r="F72" s="7" t="s">
        <v>161</v>
      </c>
      <c r="H72" s="4">
        <v>8</v>
      </c>
      <c r="I72" s="1">
        <f>H72-C72</f>
        <v>8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152</v>
      </c>
      <c r="F73" s="7"/>
      <c r="H73" s="4">
        <v>-23</v>
      </c>
      <c r="I73" s="1">
        <f t="shared" ref="I73:I78" si="14">H73-C73</f>
        <v>-23</v>
      </c>
    </row>
    <row r="74" spans="1:9" x14ac:dyDescent="0.3">
      <c r="A74" s="41"/>
      <c r="B74" s="41" t="s">
        <v>48</v>
      </c>
      <c r="C74" s="4">
        <v>800</v>
      </c>
      <c r="D74" s="4">
        <v>2270</v>
      </c>
      <c r="E74" s="6" t="s">
        <v>149</v>
      </c>
      <c r="F74" s="7" t="s">
        <v>162</v>
      </c>
      <c r="H74" s="4">
        <v>810.73</v>
      </c>
      <c r="I74" s="1">
        <f t="shared" si="14"/>
        <v>10.730000000000018</v>
      </c>
    </row>
    <row r="75" spans="1:9" x14ac:dyDescent="0.3">
      <c r="A75" s="41"/>
      <c r="B75" s="41" t="s">
        <v>50</v>
      </c>
      <c r="C75" s="4"/>
      <c r="D75" s="4">
        <v>0</v>
      </c>
      <c r="E75" s="6" t="s">
        <v>152</v>
      </c>
      <c r="F75" s="7"/>
      <c r="H75" s="4">
        <v>-15.91</v>
      </c>
      <c r="I75" s="1">
        <f t="shared" si="14"/>
        <v>-15.91</v>
      </c>
    </row>
    <row r="76" spans="1:9" x14ac:dyDescent="0.3">
      <c r="A76" s="41"/>
      <c r="B76" s="41" t="s">
        <v>51</v>
      </c>
      <c r="C76" s="4">
        <v>750</v>
      </c>
      <c r="D76" s="4">
        <v>0</v>
      </c>
      <c r="E76" s="6" t="s">
        <v>163</v>
      </c>
      <c r="F76" s="7" t="s">
        <v>164</v>
      </c>
      <c r="H76" s="4">
        <v>742.46</v>
      </c>
      <c r="I76" s="1">
        <f t="shared" si="14"/>
        <v>-7.5399999999999636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152</v>
      </c>
      <c r="F77" s="7"/>
      <c r="H77" s="4">
        <v>18</v>
      </c>
      <c r="I77" s="1">
        <f t="shared" si="14"/>
        <v>18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152</v>
      </c>
      <c r="F78" s="7"/>
      <c r="H78" s="4">
        <v>-28</v>
      </c>
      <c r="I78" s="1">
        <f t="shared" si="14"/>
        <v>-28</v>
      </c>
    </row>
    <row r="79" spans="1:9" x14ac:dyDescent="0.3">
      <c r="A79" s="41"/>
      <c r="B79" s="41" t="s">
        <v>11</v>
      </c>
      <c r="C79" s="2">
        <f>SUM(C72:C78)</f>
        <v>1550</v>
      </c>
      <c r="D79" s="2">
        <f>SUM(D72:D78)</f>
        <v>2270</v>
      </c>
      <c r="E79" s="6"/>
      <c r="F79" s="7"/>
      <c r="H79" s="2">
        <f t="shared" ref="H79:I79" si="15">SUM(H72:H78)</f>
        <v>1512.2800000000002</v>
      </c>
      <c r="I79" s="2">
        <f t="shared" si="15"/>
        <v>-37.719999999999942</v>
      </c>
    </row>
    <row r="80" spans="1:9" x14ac:dyDescent="0.3">
      <c r="A80" s="41"/>
      <c r="B80" s="41" t="s">
        <v>12</v>
      </c>
      <c r="C80" s="3">
        <f>SUM(C79+C71+C63+C55)</f>
        <v>7830</v>
      </c>
      <c r="D80" s="3">
        <f>SUM(D79+D71+D63+D55)</f>
        <v>8845</v>
      </c>
      <c r="E80" s="6"/>
      <c r="F80" s="7"/>
      <c r="H80" s="3">
        <f t="shared" ref="H80:I80" si="16">SUM(H79+H71+H63+H55)</f>
        <v>7618.9700000000012</v>
      </c>
      <c r="I80" s="3">
        <f t="shared" si="16"/>
        <v>-211.02999999999986</v>
      </c>
    </row>
    <row r="81" spans="1:9" x14ac:dyDescent="0.3">
      <c r="A81" s="41"/>
      <c r="B81" s="41" t="s">
        <v>13</v>
      </c>
      <c r="C81" s="1">
        <f>D80-C80</f>
        <v>1015</v>
      </c>
      <c r="E81" s="24"/>
      <c r="F81" s="25"/>
      <c r="H81" s="1">
        <f t="shared" ref="H81:I81" si="17">I80+H80</f>
        <v>7407.9400000000014</v>
      </c>
      <c r="I81" s="1">
        <f t="shared" si="17"/>
        <v>-211.02999999999986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2645</v>
      </c>
      <c r="D83" s="41"/>
      <c r="E83" s="43" t="s">
        <v>163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152</v>
      </c>
      <c r="F92" s="7"/>
      <c r="H92" s="4">
        <v>24</v>
      </c>
      <c r="I92" s="1">
        <f>H92-C92</f>
        <v>24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152</v>
      </c>
      <c r="F93" s="7"/>
      <c r="H93" s="4">
        <v>30</v>
      </c>
      <c r="I93" s="1">
        <f t="shared" ref="I93:I98" si="18">H93-C93</f>
        <v>30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163</v>
      </c>
      <c r="F94" s="7"/>
      <c r="H94" s="4">
        <v>15</v>
      </c>
      <c r="I94" s="1">
        <f t="shared" si="18"/>
        <v>15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163</v>
      </c>
      <c r="F95" s="7"/>
      <c r="H95" s="4">
        <v>26</v>
      </c>
      <c r="I95" s="1">
        <f t="shared" si="18"/>
        <v>26</v>
      </c>
    </row>
    <row r="96" spans="1:9" x14ac:dyDescent="0.3">
      <c r="A96" s="41"/>
      <c r="B96" s="41" t="s">
        <v>64</v>
      </c>
      <c r="C96" s="4">
        <v>860</v>
      </c>
      <c r="D96" s="4">
        <v>0</v>
      </c>
      <c r="E96" s="6" t="s">
        <v>163</v>
      </c>
      <c r="F96" s="7" t="s">
        <v>164</v>
      </c>
      <c r="H96" s="4">
        <v>823</v>
      </c>
      <c r="I96" s="1">
        <f t="shared" si="18"/>
        <v>-37</v>
      </c>
    </row>
    <row r="97" spans="1:9" x14ac:dyDescent="0.3">
      <c r="A97" s="41"/>
      <c r="B97" s="41" t="s">
        <v>65</v>
      </c>
      <c r="C97" s="4">
        <v>0</v>
      </c>
      <c r="D97" s="4">
        <v>0</v>
      </c>
      <c r="E97" s="6" t="s">
        <v>165</v>
      </c>
      <c r="F97" s="7"/>
      <c r="H97" s="4">
        <v>10</v>
      </c>
      <c r="I97" s="1">
        <f t="shared" si="18"/>
        <v>10</v>
      </c>
    </row>
    <row r="98" spans="1:9" x14ac:dyDescent="0.3">
      <c r="A98" s="41"/>
      <c r="B98" s="41" t="s">
        <v>66</v>
      </c>
      <c r="C98" s="4">
        <v>0</v>
      </c>
      <c r="D98" s="4">
        <v>0</v>
      </c>
      <c r="E98" s="6" t="s">
        <v>163</v>
      </c>
      <c r="F98" s="7"/>
      <c r="H98" s="4">
        <v>4</v>
      </c>
      <c r="I98" s="1">
        <f t="shared" si="18"/>
        <v>4</v>
      </c>
    </row>
    <row r="99" spans="1:9" x14ac:dyDescent="0.3">
      <c r="A99" s="41"/>
      <c r="B99" s="41" t="s">
        <v>29</v>
      </c>
      <c r="C99" s="2">
        <f>SUM(C92:C98)</f>
        <v>860</v>
      </c>
      <c r="D99" s="2">
        <f>SUM(D92:D98)</f>
        <v>0</v>
      </c>
      <c r="E99" s="6"/>
      <c r="F99" s="7"/>
      <c r="H99" s="2">
        <f>SUM(H92:H98)</f>
        <v>932</v>
      </c>
      <c r="I99" s="2">
        <f>SUM(I92:I98)</f>
        <v>72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"/>
      <c r="F100" s="7"/>
      <c r="H100" s="4">
        <v>0</v>
      </c>
      <c r="I100" s="1">
        <f>H100-C100</f>
        <v>0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19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19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19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9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9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9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0</v>
      </c>
      <c r="I107" s="2">
        <f>SUM(I100:I106)</f>
        <v>0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0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0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0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0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0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0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1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1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1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1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1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21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2">SUM(H116:H122)</f>
        <v>0</v>
      </c>
      <c r="I123" s="2">
        <f t="shared" si="22"/>
        <v>0</v>
      </c>
    </row>
    <row r="124" spans="1:9" x14ac:dyDescent="0.3">
      <c r="A124" s="41"/>
      <c r="B124" s="41" t="s">
        <v>12</v>
      </c>
      <c r="C124" s="3">
        <f>SUM(C123+C115+C107+C99)</f>
        <v>860</v>
      </c>
      <c r="D124" s="3">
        <f>SUM(D123+D115+D107+D99)</f>
        <v>0</v>
      </c>
      <c r="E124" s="6"/>
      <c r="F124" s="7"/>
      <c r="H124" s="3">
        <f t="shared" ref="H124:I124" si="23">SUM(H123+H115+H107+H99)</f>
        <v>932</v>
      </c>
      <c r="I124" s="3">
        <f t="shared" si="23"/>
        <v>72</v>
      </c>
    </row>
    <row r="125" spans="1:9" x14ac:dyDescent="0.3">
      <c r="A125" s="41"/>
      <c r="B125" s="41" t="s">
        <v>13</v>
      </c>
      <c r="C125" s="1">
        <f>D124+C124</f>
        <v>860</v>
      </c>
      <c r="E125" s="24"/>
      <c r="F125" s="25"/>
      <c r="H125" s="1">
        <f t="shared" ref="H125:I125" si="24">I124+H124</f>
        <v>1004</v>
      </c>
      <c r="I125" s="1">
        <f t="shared" si="24"/>
        <v>72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5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5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5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5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5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5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6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6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6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6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6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6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7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7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7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7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7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7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8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8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8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8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8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8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9">SUM(H160:H166)</f>
        <v>0</v>
      </c>
      <c r="I167" s="2">
        <f t="shared" si="29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0">SUM(H167+H159+H151+H143)</f>
        <v>0</v>
      </c>
      <c r="I168" s="3">
        <f t="shared" si="30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1">I168+H168</f>
        <v>0</v>
      </c>
      <c r="I169" s="1">
        <f t="shared" si="31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2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2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2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2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2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2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3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3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3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3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3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3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4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4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4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4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4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4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5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5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5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5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5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5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6">SUM(H204:H210)</f>
        <v>0</v>
      </c>
      <c r="I211" s="2">
        <f t="shared" si="36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7">SUM(H211+H203+H195+H187)</f>
        <v>0</v>
      </c>
      <c r="I212" s="3">
        <f t="shared" si="37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8">I212+H212</f>
        <v>0</v>
      </c>
      <c r="I213" s="1">
        <f t="shared" si="38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FC59F-2523-44C3-9798-58B8199C3AD5}">
  <sheetPr codeName="Sheet3"/>
  <dimension ref="A1:I222"/>
  <sheetViews>
    <sheetView showGridLines="0" workbookViewId="0">
      <pane xSplit="2" ySplit="4" topLeftCell="C89" activePane="bottomRight" state="frozen"/>
      <selection pane="topRight" activeCell="C1" sqref="C1"/>
      <selection pane="bottomLeft" activeCell="A5" sqref="A5"/>
      <selection pane="bottomRight" activeCell="H95" sqref="H95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166</v>
      </c>
      <c r="D1" s="14"/>
    </row>
    <row r="2" spans="2:9" x14ac:dyDescent="0.3">
      <c r="C2" s="5" t="s">
        <v>1</v>
      </c>
      <c r="D2" s="5"/>
    </row>
    <row r="3" spans="2:9" ht="96" customHeight="1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0</v>
      </c>
      <c r="D7" s="4">
        <v>1050</v>
      </c>
      <c r="E7" s="6" t="s">
        <v>167</v>
      </c>
      <c r="F7" s="7"/>
      <c r="H7" s="4"/>
      <c r="I7" s="1">
        <f t="shared" si="0"/>
        <v>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/>
      <c r="I9" s="1">
        <f t="shared" si="0"/>
        <v>0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/>
      <c r="I10" s="1">
        <f t="shared" si="0"/>
        <v>0</v>
      </c>
    </row>
    <row r="11" spans="2:9" x14ac:dyDescent="0.3">
      <c r="B11" s="21" t="s">
        <v>11</v>
      </c>
      <c r="C11" s="2">
        <f>SUM(C4:C10)</f>
        <v>0</v>
      </c>
      <c r="D11" s="2">
        <f>SUM(D4:D10)</f>
        <v>1050</v>
      </c>
      <c r="E11" s="6" t="s">
        <v>167</v>
      </c>
      <c r="F11" s="7"/>
      <c r="H11" s="2">
        <f>SUM(H4:H10)</f>
        <v>0</v>
      </c>
      <c r="I11" s="2">
        <f>SUM(I4:I10)</f>
        <v>0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-1050</v>
      </c>
      <c r="D15" s="4">
        <v>900</v>
      </c>
      <c r="E15" s="6" t="s">
        <v>167</v>
      </c>
      <c r="F15" s="7"/>
      <c r="H15" s="4"/>
      <c r="I15" s="1">
        <f t="shared" si="2"/>
        <v>1050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/>
      <c r="I16" s="1">
        <f t="shared" si="2"/>
        <v>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-1050</v>
      </c>
      <c r="D19" s="2">
        <f>SUM(D12:D18)</f>
        <v>900</v>
      </c>
      <c r="E19" s="6" t="s">
        <v>167</v>
      </c>
      <c r="F19" s="7"/>
      <c r="H19" s="2">
        <f>SUM(H12:H18)</f>
        <v>0</v>
      </c>
      <c r="I19" s="2">
        <f>SUM(I12:I18)</f>
        <v>1050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/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-900</v>
      </c>
      <c r="D23" s="4">
        <v>620</v>
      </c>
      <c r="E23" s="6" t="s">
        <v>167</v>
      </c>
      <c r="F23" s="7"/>
      <c r="H23" s="4"/>
      <c r="I23" s="1">
        <f t="shared" si="4"/>
        <v>900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/>
      <c r="I24" s="1">
        <f t="shared" si="4"/>
        <v>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/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/>
      <c r="I26" s="1">
        <f t="shared" si="4"/>
        <v>0</v>
      </c>
    </row>
    <row r="27" spans="2:9" x14ac:dyDescent="0.3">
      <c r="B27" s="21" t="s">
        <v>11</v>
      </c>
      <c r="C27" s="2">
        <f>SUM(C20:C26)</f>
        <v>-900</v>
      </c>
      <c r="D27" s="2">
        <f>SUM(D20:D26)</f>
        <v>620</v>
      </c>
      <c r="E27" s="6" t="s">
        <v>167</v>
      </c>
      <c r="F27" s="7"/>
      <c r="H27" s="2">
        <f>SUM(H20:H26)</f>
        <v>0</v>
      </c>
      <c r="I27" s="2">
        <f>SUM(I20:I26)</f>
        <v>900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/>
      <c r="I28" s="1">
        <f>H28-C28</f>
        <v>0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/>
      <c r="I29" s="1">
        <f t="shared" ref="I29:I34" si="6">H29-C29</f>
        <v>0</v>
      </c>
    </row>
    <row r="30" spans="2:9" x14ac:dyDescent="0.3">
      <c r="B30" s="20">
        <f t="shared" ref="B30:B34" si="7">B29+1</f>
        <v>46266</v>
      </c>
      <c r="C30" s="4">
        <v>-620</v>
      </c>
      <c r="D30" s="4">
        <v>450</v>
      </c>
      <c r="E30" s="6" t="s">
        <v>167</v>
      </c>
      <c r="F30" s="7"/>
      <c r="H30" s="4"/>
      <c r="I30" s="1">
        <f t="shared" si="6"/>
        <v>620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/>
      <c r="I31" s="1">
        <f t="shared" si="6"/>
        <v>0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/>
      <c r="I32" s="1">
        <f t="shared" si="6"/>
        <v>0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/>
      <c r="I33" s="1">
        <f t="shared" si="6"/>
        <v>0</v>
      </c>
    </row>
    <row r="34" spans="1:9" ht="15" thickBot="1" x14ac:dyDescent="0.35">
      <c r="B34" s="20">
        <f t="shared" si="7"/>
        <v>46270</v>
      </c>
      <c r="C34" s="4">
        <v>-450</v>
      </c>
      <c r="D34" s="4">
        <v>0</v>
      </c>
      <c r="E34" s="6" t="s">
        <v>167</v>
      </c>
      <c r="F34" s="7"/>
      <c r="H34" s="4"/>
      <c r="I34" s="1">
        <f t="shared" si="6"/>
        <v>450</v>
      </c>
    </row>
    <row r="35" spans="1:9" x14ac:dyDescent="0.3">
      <c r="B35" s="19" t="s">
        <v>11</v>
      </c>
      <c r="C35" s="2">
        <f>SUM(C28:C34)</f>
        <v>-1070</v>
      </c>
      <c r="D35" s="2">
        <f>SUM(D28:D34)</f>
        <v>450</v>
      </c>
      <c r="E35" s="6" t="s">
        <v>167</v>
      </c>
      <c r="F35" s="7"/>
      <c r="H35" s="2">
        <f t="shared" ref="H35:I35" si="8">SUM(H28:H34)</f>
        <v>0</v>
      </c>
      <c r="I35" s="2">
        <f t="shared" si="8"/>
        <v>1070</v>
      </c>
    </row>
    <row r="36" spans="1:9" x14ac:dyDescent="0.3">
      <c r="B36" s="19" t="s">
        <v>12</v>
      </c>
      <c r="C36" s="3">
        <f>SUM(C35+C27+C19+C11)</f>
        <v>-3020</v>
      </c>
      <c r="D36" s="3">
        <f>SUM(D35+D27+D19+D11)</f>
        <v>3020</v>
      </c>
      <c r="E36" s="6" t="s">
        <v>167</v>
      </c>
      <c r="F36" s="7"/>
      <c r="H36" s="3">
        <f t="shared" ref="H36:I36" si="9">SUM(H35+H27+H19+H11)</f>
        <v>0</v>
      </c>
      <c r="I36" s="3">
        <f t="shared" si="9"/>
        <v>3020</v>
      </c>
    </row>
    <row r="37" spans="1:9" ht="15" thickBot="1" x14ac:dyDescent="0.35">
      <c r="B37" s="19" t="s">
        <v>13</v>
      </c>
      <c r="C37" s="1">
        <v>0</v>
      </c>
      <c r="E37" s="24"/>
      <c r="F37" s="25"/>
      <c r="H37" s="1">
        <f t="shared" ref="H37:I37" si="10">I36+H36</f>
        <v>3020</v>
      </c>
      <c r="I37" s="1">
        <f t="shared" si="10"/>
        <v>3020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0</v>
      </c>
      <c r="E39" s="6" t="s">
        <v>167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167</v>
      </c>
      <c r="F48" s="7"/>
      <c r="H48" s="4">
        <v>12.51</v>
      </c>
      <c r="I48" s="1">
        <f>H48-C48</f>
        <v>12.51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167</v>
      </c>
      <c r="F49" s="7" t="s">
        <v>168</v>
      </c>
      <c r="H49" s="4">
        <v>-3.08</v>
      </c>
      <c r="I49" s="1">
        <f>H49-C49</f>
        <v>-3.08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167</v>
      </c>
      <c r="F50" s="7"/>
      <c r="H50" s="4">
        <v>2.88</v>
      </c>
      <c r="I50" s="1">
        <f t="shared" ref="I50:I54" si="11">H50-C50</f>
        <v>2.88</v>
      </c>
    </row>
    <row r="51" spans="1:9" x14ac:dyDescent="0.3">
      <c r="A51" s="41"/>
      <c r="B51" s="41" t="s">
        <v>24</v>
      </c>
      <c r="C51" s="4">
        <v>0</v>
      </c>
      <c r="D51" s="4">
        <v>850</v>
      </c>
      <c r="E51" s="6" t="s">
        <v>167</v>
      </c>
      <c r="F51" s="7" t="s">
        <v>169</v>
      </c>
      <c r="H51" s="4">
        <v>-5.05</v>
      </c>
      <c r="I51" s="1">
        <f t="shared" si="11"/>
        <v>-5.05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 t="s">
        <v>167</v>
      </c>
      <c r="F52" s="7"/>
      <c r="H52" s="4">
        <v>-75.73</v>
      </c>
      <c r="I52" s="1">
        <f t="shared" si="11"/>
        <v>-75.73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167</v>
      </c>
      <c r="F53" s="7"/>
      <c r="H53" s="4">
        <v>135.93</v>
      </c>
      <c r="I53" s="1">
        <f t="shared" si="11"/>
        <v>135.93</v>
      </c>
    </row>
    <row r="54" spans="1:9" x14ac:dyDescent="0.3">
      <c r="A54" s="41"/>
      <c r="B54" s="41" t="s">
        <v>27</v>
      </c>
      <c r="C54" s="4">
        <v>0</v>
      </c>
      <c r="D54" s="4">
        <v>0</v>
      </c>
      <c r="E54" s="6" t="s">
        <v>167</v>
      </c>
      <c r="F54" s="7"/>
      <c r="H54" s="4">
        <v>0.93</v>
      </c>
      <c r="I54" s="1">
        <f t="shared" si="11"/>
        <v>0.93</v>
      </c>
    </row>
    <row r="55" spans="1:9" x14ac:dyDescent="0.3">
      <c r="A55" s="41"/>
      <c r="B55" s="41" t="s">
        <v>29</v>
      </c>
      <c r="C55" s="2">
        <f>SUM(C48:C54)</f>
        <v>0</v>
      </c>
      <c r="D55" s="2">
        <f>SUM(D48:D54)</f>
        <v>850</v>
      </c>
      <c r="E55" s="6"/>
      <c r="F55" s="7"/>
      <c r="H55" s="2">
        <f>SUM(H48:H54)</f>
        <v>68.390000000000015</v>
      </c>
      <c r="I55" s="2">
        <f>SUM(I48:I54)</f>
        <v>68.390000000000015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167</v>
      </c>
      <c r="F56" s="7"/>
      <c r="H56" s="4">
        <v>1.77</v>
      </c>
      <c r="I56" s="1">
        <f>H56-C56</f>
        <v>1.77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167</v>
      </c>
      <c r="F57" s="7"/>
      <c r="H57" s="4">
        <v>14.13</v>
      </c>
      <c r="I57" s="1">
        <f t="shared" ref="I57:I62" si="12">H57-C57</f>
        <v>14.13</v>
      </c>
    </row>
    <row r="58" spans="1:9" x14ac:dyDescent="0.3">
      <c r="A58" s="41"/>
      <c r="B58" s="41" t="s">
        <v>32</v>
      </c>
      <c r="C58" s="4">
        <v>0</v>
      </c>
      <c r="D58" s="4">
        <v>650</v>
      </c>
      <c r="E58" s="6" t="s">
        <v>167</v>
      </c>
      <c r="F58" s="7" t="s">
        <v>169</v>
      </c>
      <c r="H58" s="4">
        <v>0.93</v>
      </c>
      <c r="I58" s="1">
        <f t="shared" si="12"/>
        <v>0.93</v>
      </c>
    </row>
    <row r="59" spans="1:9" x14ac:dyDescent="0.3">
      <c r="A59" s="41"/>
      <c r="B59" s="41" t="s">
        <v>34</v>
      </c>
      <c r="C59" s="4">
        <v>850</v>
      </c>
      <c r="D59" s="4">
        <v>0</v>
      </c>
      <c r="E59" s="6" t="s">
        <v>167</v>
      </c>
      <c r="F59" s="7" t="s">
        <v>170</v>
      </c>
      <c r="H59" s="4">
        <v>931.34</v>
      </c>
      <c r="I59" s="1">
        <f>H59-C59</f>
        <v>81.340000000000032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167</v>
      </c>
      <c r="F60" s="7"/>
      <c r="H60" s="4">
        <v>-99.46</v>
      </c>
      <c r="I60" s="1">
        <f t="shared" si="12"/>
        <v>-99.46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167</v>
      </c>
      <c r="F61" s="7"/>
      <c r="H61" s="4">
        <v>49.47</v>
      </c>
      <c r="I61" s="1">
        <f t="shared" si="12"/>
        <v>49.47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167</v>
      </c>
      <c r="F62" s="7"/>
      <c r="H62" s="4">
        <v>-28</v>
      </c>
      <c r="I62" s="1">
        <f t="shared" si="12"/>
        <v>-28</v>
      </c>
    </row>
    <row r="63" spans="1:9" x14ac:dyDescent="0.3">
      <c r="A63" s="41"/>
      <c r="B63" s="41" t="s">
        <v>29</v>
      </c>
      <c r="C63" s="2">
        <f>SUM(C56:C62)</f>
        <v>850</v>
      </c>
      <c r="D63" s="2">
        <f>SUM(D56:D62)</f>
        <v>650</v>
      </c>
      <c r="E63" s="6"/>
      <c r="F63" s="7"/>
      <c r="H63" s="2">
        <f>SUM(H56:H62)</f>
        <v>870.18000000000006</v>
      </c>
      <c r="I63" s="2">
        <f>SUM(I56:I62)</f>
        <v>20.180000000000035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171</v>
      </c>
      <c r="F64" s="7"/>
      <c r="H64" s="4">
        <v>42.54</v>
      </c>
      <c r="I64" s="1">
        <f>H64-C64</f>
        <v>42.54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171</v>
      </c>
      <c r="F65" s="7"/>
      <c r="H65" s="4">
        <v>-19.350000000000001</v>
      </c>
      <c r="I65" s="1">
        <f t="shared" ref="I65:I70" si="13">H65-C65</f>
        <v>-19.350000000000001</v>
      </c>
    </row>
    <row r="66" spans="1:9" x14ac:dyDescent="0.3">
      <c r="A66" s="41"/>
      <c r="B66" s="41" t="s">
        <v>40</v>
      </c>
      <c r="C66" s="4">
        <v>0</v>
      </c>
      <c r="D66" s="4">
        <v>800</v>
      </c>
      <c r="E66" s="6" t="s">
        <v>171</v>
      </c>
      <c r="F66" s="7" t="s">
        <v>169</v>
      </c>
      <c r="H66" s="4">
        <v>-5.0599999999999996</v>
      </c>
      <c r="I66" s="1">
        <f t="shared" si="13"/>
        <v>-5.0599999999999996</v>
      </c>
    </row>
    <row r="67" spans="1:9" x14ac:dyDescent="0.3">
      <c r="A67" s="41"/>
      <c r="B67" s="41" t="s">
        <v>41</v>
      </c>
      <c r="C67" s="4">
        <v>650</v>
      </c>
      <c r="D67" s="4">
        <v>0</v>
      </c>
      <c r="E67" s="6" t="s">
        <v>167</v>
      </c>
      <c r="F67" s="7" t="s">
        <v>170</v>
      </c>
      <c r="H67" s="4">
        <v>548.78</v>
      </c>
      <c r="I67" s="1">
        <f t="shared" si="13"/>
        <v>-101.22000000000003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167</v>
      </c>
      <c r="F68" s="7" t="s">
        <v>172</v>
      </c>
      <c r="H68" s="4">
        <v>8.4600000000000009</v>
      </c>
      <c r="I68" s="1">
        <f t="shared" si="13"/>
        <v>8.4600000000000009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167</v>
      </c>
      <c r="F69" s="7"/>
      <c r="H69" s="4">
        <v>-22.26</v>
      </c>
      <c r="I69" s="1">
        <f t="shared" si="13"/>
        <v>-22.26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171</v>
      </c>
      <c r="F70" s="7"/>
      <c r="H70" s="4">
        <v>3.05</v>
      </c>
      <c r="I70" s="1">
        <f t="shared" si="13"/>
        <v>3.05</v>
      </c>
    </row>
    <row r="71" spans="1:9" x14ac:dyDescent="0.3">
      <c r="A71" s="41"/>
      <c r="B71" s="41" t="s">
        <v>29</v>
      </c>
      <c r="C71" s="2">
        <f>SUM(C64:C70)</f>
        <v>650</v>
      </c>
      <c r="D71" s="2">
        <f>SUM(D64:D70)</f>
        <v>800</v>
      </c>
      <c r="E71" s="6" t="s">
        <v>167</v>
      </c>
      <c r="F71" s="7"/>
      <c r="H71" s="2">
        <f>SUM(H64:H70)</f>
        <v>556.16</v>
      </c>
      <c r="I71" s="2">
        <f>SUM(I64:I70)</f>
        <v>-93.840000000000032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167</v>
      </c>
      <c r="F72" s="7"/>
      <c r="H72" s="4">
        <v>-37.159999999999997</v>
      </c>
      <c r="I72" s="1">
        <f>H72-C72</f>
        <v>-37.159999999999997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167</v>
      </c>
      <c r="F73" s="7"/>
      <c r="H73" s="4">
        <v>100.34</v>
      </c>
      <c r="I73" s="1">
        <f t="shared" ref="I73:I78" si="14">H73-C73</f>
        <v>100.34</v>
      </c>
    </row>
    <row r="74" spans="1:9" x14ac:dyDescent="0.3">
      <c r="A74" s="41"/>
      <c r="B74" s="41" t="s">
        <v>48</v>
      </c>
      <c r="C74" s="4">
        <v>800</v>
      </c>
      <c r="D74" s="4">
        <v>800</v>
      </c>
      <c r="E74" s="6" t="s">
        <v>167</v>
      </c>
      <c r="F74" s="7" t="s">
        <v>173</v>
      </c>
      <c r="H74" s="4">
        <v>731</v>
      </c>
      <c r="I74" s="1">
        <f t="shared" si="14"/>
        <v>-69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171</v>
      </c>
      <c r="F75" s="7"/>
      <c r="H75" s="4">
        <v>-18.809999999999999</v>
      </c>
      <c r="I75" s="1">
        <f t="shared" si="14"/>
        <v>-18.809999999999999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171</v>
      </c>
      <c r="F76" s="7"/>
      <c r="H76" s="4">
        <v>1.17</v>
      </c>
      <c r="I76" s="1">
        <f t="shared" si="14"/>
        <v>1.17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171</v>
      </c>
      <c r="F77" s="7"/>
      <c r="H77" s="4">
        <v>-89.05</v>
      </c>
      <c r="I77" s="1">
        <f t="shared" si="14"/>
        <v>-89.05</v>
      </c>
    </row>
    <row r="78" spans="1:9" x14ac:dyDescent="0.3">
      <c r="A78" s="41"/>
      <c r="B78" s="41" t="s">
        <v>54</v>
      </c>
      <c r="C78" s="4">
        <v>800</v>
      </c>
      <c r="D78" s="4">
        <v>0</v>
      </c>
      <c r="E78" s="6" t="s">
        <v>167</v>
      </c>
      <c r="F78" s="7" t="s">
        <v>170</v>
      </c>
      <c r="H78" s="4">
        <v>844.41</v>
      </c>
      <c r="I78" s="1">
        <f t="shared" si="14"/>
        <v>44.409999999999968</v>
      </c>
    </row>
    <row r="79" spans="1:9" x14ac:dyDescent="0.3">
      <c r="A79" s="41"/>
      <c r="B79" s="41" t="s">
        <v>11</v>
      </c>
      <c r="C79" s="2">
        <f>SUM(C72:C78)</f>
        <v>1600</v>
      </c>
      <c r="D79" s="2">
        <f>SUM(D72:D78)</f>
        <v>800</v>
      </c>
      <c r="E79" s="6" t="s">
        <v>167</v>
      </c>
      <c r="F79" s="7"/>
      <c r="H79" s="2">
        <f t="shared" ref="H79:I79" si="15">SUM(H72:H78)</f>
        <v>1531.9</v>
      </c>
      <c r="I79" s="2">
        <f t="shared" si="15"/>
        <v>-68.100000000000023</v>
      </c>
    </row>
    <row r="80" spans="1:9" x14ac:dyDescent="0.3">
      <c r="A80" s="41"/>
      <c r="B80" s="41" t="s">
        <v>12</v>
      </c>
      <c r="C80" s="3">
        <f>SUM(C79+C71+C63+C55)</f>
        <v>3100</v>
      </c>
      <c r="D80" s="3">
        <f>SUM(D79+D71+D63+D55)</f>
        <v>3100</v>
      </c>
      <c r="E80" s="6" t="s">
        <v>167</v>
      </c>
      <c r="F80" s="7"/>
      <c r="H80" s="3">
        <f t="shared" ref="H80:I80" si="16">SUM(H79+H71+H63+H55)</f>
        <v>3026.6299999999997</v>
      </c>
      <c r="I80" s="3">
        <f t="shared" si="16"/>
        <v>-73.37</v>
      </c>
    </row>
    <row r="81" spans="1:9" x14ac:dyDescent="0.3">
      <c r="A81" s="41"/>
      <c r="B81" s="41" t="s">
        <v>13</v>
      </c>
      <c r="C81" s="1">
        <f>D80+C80</f>
        <v>6200</v>
      </c>
      <c r="E81" s="24" t="s">
        <v>167</v>
      </c>
      <c r="F81" s="25"/>
      <c r="H81" s="1">
        <f t="shared" ref="H81:I81" si="17">I80+H80</f>
        <v>2953.2599999999998</v>
      </c>
      <c r="I81" s="1">
        <f t="shared" si="17"/>
        <v>-73.37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0</v>
      </c>
      <c r="D83" s="41"/>
      <c r="E83" s="43" t="s">
        <v>167</v>
      </c>
      <c r="F83" s="50"/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167</v>
      </c>
      <c r="F92" s="7"/>
      <c r="H92" s="4">
        <v>12.1</v>
      </c>
      <c r="I92" s="1">
        <f>H92-C92</f>
        <v>12.1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167</v>
      </c>
      <c r="F93" s="7"/>
      <c r="H93" s="4">
        <v>9.77</v>
      </c>
      <c r="I93" s="1">
        <f t="shared" ref="I93:I98" si="18">H93-C93</f>
        <v>9.77</v>
      </c>
    </row>
    <row r="94" spans="1:9" x14ac:dyDescent="0.3">
      <c r="A94" s="41"/>
      <c r="B94" s="41" t="s">
        <v>61</v>
      </c>
      <c r="C94" s="4">
        <v>0</v>
      </c>
      <c r="D94" s="4">
        <v>720</v>
      </c>
      <c r="E94" s="6" t="s">
        <v>171</v>
      </c>
      <c r="F94" s="7" t="s">
        <v>174</v>
      </c>
      <c r="H94" s="4">
        <v>9.86</v>
      </c>
      <c r="I94" s="1">
        <f t="shared" si="18"/>
        <v>9.86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171</v>
      </c>
      <c r="F95" s="7"/>
      <c r="H95" s="4">
        <v>24.41</v>
      </c>
      <c r="I95" s="1">
        <f t="shared" si="18"/>
        <v>24.41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167</v>
      </c>
      <c r="F96" s="7" t="s">
        <v>175</v>
      </c>
      <c r="H96" s="4">
        <v>-90</v>
      </c>
      <c r="I96" s="1">
        <f t="shared" si="18"/>
        <v>-90</v>
      </c>
    </row>
    <row r="97" spans="1:9" x14ac:dyDescent="0.3">
      <c r="A97" s="41"/>
      <c r="B97" s="41" t="s">
        <v>65</v>
      </c>
      <c r="C97" s="4">
        <v>0</v>
      </c>
      <c r="D97" s="4">
        <v>0</v>
      </c>
      <c r="E97" s="6" t="s">
        <v>171</v>
      </c>
      <c r="F97" s="7"/>
      <c r="H97" s="4">
        <v>97.28</v>
      </c>
      <c r="I97" s="1">
        <f t="shared" si="18"/>
        <v>97.28</v>
      </c>
    </row>
    <row r="98" spans="1:9" x14ac:dyDescent="0.3">
      <c r="A98" s="41"/>
      <c r="B98" s="41" t="s">
        <v>66</v>
      </c>
      <c r="C98" s="4">
        <v>0</v>
      </c>
      <c r="D98" s="4">
        <v>0</v>
      </c>
      <c r="E98" s="6" t="s">
        <v>171</v>
      </c>
      <c r="F98" s="7"/>
      <c r="H98" s="4">
        <v>7.64</v>
      </c>
      <c r="I98" s="1">
        <f t="shared" si="18"/>
        <v>7.64</v>
      </c>
    </row>
    <row r="99" spans="1:9" x14ac:dyDescent="0.3">
      <c r="A99" s="41"/>
      <c r="B99" s="41" t="s">
        <v>29</v>
      </c>
      <c r="C99" s="2">
        <f>SUM(C92:C98)</f>
        <v>0</v>
      </c>
      <c r="D99" s="2">
        <f>SUM(D92:D98)</f>
        <v>720</v>
      </c>
      <c r="E99" s="6"/>
      <c r="F99" s="7"/>
      <c r="H99" s="2">
        <f>SUM(H92:H98)</f>
        <v>71.06</v>
      </c>
      <c r="I99" s="2">
        <f>SUM(I92:I98)</f>
        <v>71.06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"/>
      <c r="F100" s="7"/>
      <c r="H100" s="4">
        <v>0</v>
      </c>
      <c r="I100" s="1">
        <f>H100-C100</f>
        <v>0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19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19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19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9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9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9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0</v>
      </c>
      <c r="I107" s="2">
        <f>SUM(I100:I106)</f>
        <v>0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0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0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0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0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0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0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1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1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1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1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1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21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2">SUM(H116:H122)</f>
        <v>0</v>
      </c>
      <c r="I123" s="2">
        <f t="shared" si="22"/>
        <v>0</v>
      </c>
    </row>
    <row r="124" spans="1:9" x14ac:dyDescent="0.3">
      <c r="A124" s="41"/>
      <c r="B124" s="41" t="s">
        <v>12</v>
      </c>
      <c r="C124" s="3">
        <f>SUM(C123+C115+C107+C99)</f>
        <v>0</v>
      </c>
      <c r="D124" s="3">
        <f>SUM(D123+D115+D107+D99)</f>
        <v>720</v>
      </c>
      <c r="E124" s="6"/>
      <c r="F124" s="7"/>
      <c r="H124" s="3">
        <f t="shared" ref="H124:I124" si="23">SUM(H123+H115+H107+H99)</f>
        <v>71.06</v>
      </c>
      <c r="I124" s="3">
        <f t="shared" si="23"/>
        <v>71.06</v>
      </c>
    </row>
    <row r="125" spans="1:9" x14ac:dyDescent="0.3">
      <c r="A125" s="41"/>
      <c r="B125" s="41" t="s">
        <v>13</v>
      </c>
      <c r="C125" s="1">
        <f>D124+C124</f>
        <v>720</v>
      </c>
      <c r="E125" s="24"/>
      <c r="F125" s="25"/>
      <c r="H125" s="1">
        <f t="shared" ref="H125:I125" si="24">I124+H124</f>
        <v>142.12</v>
      </c>
      <c r="I125" s="1">
        <f t="shared" si="24"/>
        <v>71.06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5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5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5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5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5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5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6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6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6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6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6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6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7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7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7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7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7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7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8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8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8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8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8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8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9">SUM(H160:H166)</f>
        <v>0</v>
      </c>
      <c r="I167" s="2">
        <f t="shared" si="29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0">SUM(H167+H159+H151+H143)</f>
        <v>0</v>
      </c>
      <c r="I168" s="3">
        <f t="shared" si="30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1">I168+H168</f>
        <v>0</v>
      </c>
      <c r="I169" s="1">
        <f t="shared" si="31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2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2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2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2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2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2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3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3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3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3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3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3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4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4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4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4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4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4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5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5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5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5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5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5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6">SUM(H204:H210)</f>
        <v>0</v>
      </c>
      <c r="I211" s="2">
        <f t="shared" si="36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7">SUM(H211+H203+H195+H187)</f>
        <v>0</v>
      </c>
      <c r="I212" s="3">
        <f t="shared" si="37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8">I212+H212</f>
        <v>0</v>
      </c>
      <c r="I213" s="1">
        <f t="shared" si="38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F5DDE-02B0-4F93-B9D1-62B2DAEFCACE}">
  <sheetPr codeName="Sheet4"/>
  <dimension ref="A1:I222"/>
  <sheetViews>
    <sheetView showGridLines="0" workbookViewId="0">
      <pane xSplit="2" ySplit="3" topLeftCell="C93" activePane="bottomRight" state="frozen"/>
      <selection pane="topRight" sqref="A1:XFD1"/>
      <selection pane="bottomLeft" sqref="A1:XFD1"/>
      <selection pane="bottomRight" activeCell="F97" sqref="F97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176</v>
      </c>
      <c r="D1" s="14"/>
    </row>
    <row r="2" spans="2:9" x14ac:dyDescent="0.3">
      <c r="C2" s="5" t="s">
        <v>1</v>
      </c>
      <c r="D2" s="5"/>
    </row>
    <row r="3" spans="2:9" ht="86.4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>
        <v>31.2</v>
      </c>
      <c r="I4" s="1">
        <f t="shared" ref="I4:I10" si="0">H4-C4</f>
        <v>31.2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>
        <v>1081.44</v>
      </c>
      <c r="I5" s="1">
        <f t="shared" si="0"/>
        <v>1081.44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>
        <v>-137.56</v>
      </c>
      <c r="I6" s="1">
        <f t="shared" si="0"/>
        <v>-137.56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>
        <v>-8.59</v>
      </c>
      <c r="I7" s="1">
        <f t="shared" si="0"/>
        <v>-8.59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>
        <v>25.98</v>
      </c>
      <c r="I8" s="1">
        <f t="shared" si="0"/>
        <v>25.98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>
        <v>-23.91</v>
      </c>
      <c r="I9" s="1">
        <f t="shared" si="0"/>
        <v>-23.91</v>
      </c>
    </row>
    <row r="10" spans="2:9" x14ac:dyDescent="0.3">
      <c r="B10" s="20">
        <f t="shared" si="1"/>
        <v>46249</v>
      </c>
      <c r="C10" s="4">
        <v>0</v>
      </c>
      <c r="D10" s="4">
        <v>0</v>
      </c>
      <c r="E10" s="6"/>
      <c r="F10" s="7"/>
      <c r="H10" s="4">
        <v>-18.190000000000001</v>
      </c>
      <c r="I10" s="1">
        <f t="shared" si="0"/>
        <v>-18.190000000000001</v>
      </c>
    </row>
    <row r="11" spans="2:9" x14ac:dyDescent="0.3">
      <c r="B11" s="21" t="s">
        <v>11</v>
      </c>
      <c r="C11" s="2">
        <f>SUM(C4:C10)</f>
        <v>0</v>
      </c>
      <c r="D11" s="2">
        <f>SUM(D4:D10)</f>
        <v>0</v>
      </c>
      <c r="E11" s="6"/>
      <c r="F11" s="7"/>
      <c r="H11" s="2">
        <f>SUM(H4:H10)</f>
        <v>950.37000000000012</v>
      </c>
      <c r="I11" s="2">
        <f>SUM(I4:I10)</f>
        <v>950.37000000000012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>
        <v>200.32</v>
      </c>
      <c r="I12" s="1">
        <f t="shared" ref="I12:I18" si="2">H12-C12</f>
        <v>200.32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>
        <v>-189.65</v>
      </c>
      <c r="I13" s="1">
        <f t="shared" si="2"/>
        <v>-189.65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>
        <v>-22.4</v>
      </c>
      <c r="I14" s="1">
        <f t="shared" si="2"/>
        <v>-22.4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>
        <v>-21.06</v>
      </c>
      <c r="I15" s="1">
        <f t="shared" si="2"/>
        <v>-21.06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>
        <v>-0.46</v>
      </c>
      <c r="I16" s="1">
        <f t="shared" si="2"/>
        <v>-0.46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>
        <v>-34.57</v>
      </c>
      <c r="I17" s="1">
        <f t="shared" si="2"/>
        <v>-34.57</v>
      </c>
    </row>
    <row r="18" spans="2:9" x14ac:dyDescent="0.3">
      <c r="B18" s="20">
        <f t="shared" si="3"/>
        <v>46256</v>
      </c>
      <c r="C18" s="4">
        <v>0</v>
      </c>
      <c r="D18" s="4">
        <v>0</v>
      </c>
      <c r="E18" s="6"/>
      <c r="F18" s="7"/>
      <c r="H18" s="4">
        <v>-37.49</v>
      </c>
      <c r="I18" s="1">
        <f t="shared" si="2"/>
        <v>-37.49</v>
      </c>
    </row>
    <row r="19" spans="2:9" x14ac:dyDescent="0.3">
      <c r="B19" s="21" t="s">
        <v>11</v>
      </c>
      <c r="C19" s="2">
        <f>SUM(C12:C18)</f>
        <v>0</v>
      </c>
      <c r="D19" s="2">
        <f>SUM(D12:D18)</f>
        <v>0</v>
      </c>
      <c r="E19" s="6"/>
      <c r="F19" s="7"/>
      <c r="H19" s="2">
        <f>SUM(H12:H18)</f>
        <v>-105.31</v>
      </c>
      <c r="I19" s="2">
        <f>SUM(I12:I18)</f>
        <v>-105.31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>
        <v>-106</v>
      </c>
      <c r="I20" s="1">
        <f t="shared" ref="I20:I26" si="4">H20-C20</f>
        <v>-106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>
        <v>4</v>
      </c>
      <c r="I21" s="1">
        <f t="shared" si="4"/>
        <v>4</v>
      </c>
    </row>
    <row r="22" spans="2:9" x14ac:dyDescent="0.3">
      <c r="B22" s="20">
        <f t="shared" ref="B22:B26" si="5">B21+1</f>
        <v>46259</v>
      </c>
      <c r="C22" s="4">
        <v>1400</v>
      </c>
      <c r="D22" s="4">
        <v>700</v>
      </c>
      <c r="E22" s="6" t="s">
        <v>177</v>
      </c>
      <c r="F22" s="7" t="s">
        <v>178</v>
      </c>
      <c r="H22" s="4">
        <v>680</v>
      </c>
      <c r="I22" s="1">
        <f t="shared" si="4"/>
        <v>-720</v>
      </c>
    </row>
    <row r="23" spans="2:9" x14ac:dyDescent="0.3">
      <c r="B23" s="20">
        <f t="shared" si="5"/>
        <v>46260</v>
      </c>
      <c r="C23" s="4">
        <v>0</v>
      </c>
      <c r="D23" s="4"/>
      <c r="E23" s="6"/>
      <c r="F23" s="7"/>
      <c r="H23" s="4">
        <v>-9</v>
      </c>
      <c r="I23" s="1">
        <f t="shared" si="4"/>
        <v>-9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>
        <v>19</v>
      </c>
      <c r="I24" s="1">
        <f t="shared" si="4"/>
        <v>19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>
        <v>-49</v>
      </c>
      <c r="I25" s="1">
        <f t="shared" si="4"/>
        <v>-49</v>
      </c>
    </row>
    <row r="26" spans="2:9" x14ac:dyDescent="0.3">
      <c r="B26" s="20">
        <f t="shared" si="5"/>
        <v>46263</v>
      </c>
      <c r="C26" s="4">
        <v>0</v>
      </c>
      <c r="D26" s="4">
        <v>0</v>
      </c>
      <c r="E26" s="6"/>
      <c r="F26" s="7"/>
      <c r="H26" s="4">
        <v>13</v>
      </c>
      <c r="I26" s="1">
        <f t="shared" si="4"/>
        <v>13</v>
      </c>
    </row>
    <row r="27" spans="2:9" x14ac:dyDescent="0.3">
      <c r="B27" s="21" t="s">
        <v>11</v>
      </c>
      <c r="C27" s="2">
        <f>SUM(C20:C26)</f>
        <v>1400</v>
      </c>
      <c r="D27" s="2">
        <f>SUM(D20:D26)</f>
        <v>700</v>
      </c>
      <c r="E27" s="6"/>
      <c r="F27" s="7"/>
      <c r="H27" s="2">
        <f>SUM(H20:H26)</f>
        <v>552</v>
      </c>
      <c r="I27" s="2">
        <f>SUM(I20:I26)</f>
        <v>-848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>
        <v>-1767</v>
      </c>
      <c r="I28" s="1">
        <f t="shared" ref="I28:I34" si="6">H28-C28</f>
        <v>-1767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>
        <v>-1205</v>
      </c>
      <c r="I29" s="1">
        <f t="shared" si="6"/>
        <v>-1205</v>
      </c>
    </row>
    <row r="30" spans="2:9" x14ac:dyDescent="0.3">
      <c r="B30" s="20">
        <f t="shared" ref="B30:B34" si="7">B29+1</f>
        <v>46266</v>
      </c>
      <c r="C30" s="4">
        <v>700</v>
      </c>
      <c r="D30" s="4">
        <v>1500</v>
      </c>
      <c r="E30" s="6" t="s">
        <v>177</v>
      </c>
      <c r="F30" s="7" t="s">
        <v>179</v>
      </c>
      <c r="H30" s="4">
        <v>720</v>
      </c>
      <c r="I30" s="1">
        <f t="shared" si="6"/>
        <v>20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>
        <v>-21</v>
      </c>
      <c r="I31" s="1">
        <f t="shared" si="6"/>
        <v>-21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>
        <v>-798</v>
      </c>
      <c r="I32" s="1">
        <f t="shared" si="6"/>
        <v>-798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>
        <v>0</v>
      </c>
      <c r="I33" s="1">
        <f t="shared" si="6"/>
        <v>0</v>
      </c>
    </row>
    <row r="34" spans="1:9" x14ac:dyDescent="0.3">
      <c r="B34" s="20">
        <f t="shared" si="7"/>
        <v>46270</v>
      </c>
      <c r="C34" s="4">
        <v>0</v>
      </c>
      <c r="D34" s="4">
        <v>0</v>
      </c>
      <c r="E34" s="6"/>
      <c r="F34" s="7"/>
      <c r="H34" s="4">
        <v>-20</v>
      </c>
      <c r="I34" s="1">
        <f t="shared" si="6"/>
        <v>-20</v>
      </c>
    </row>
    <row r="35" spans="1:9" x14ac:dyDescent="0.3">
      <c r="B35" s="19" t="s">
        <v>11</v>
      </c>
      <c r="C35" s="2">
        <f>SUM(C28:C34)</f>
        <v>700</v>
      </c>
      <c r="D35" s="2">
        <f>SUM(D28:D34)</f>
        <v>1500</v>
      </c>
      <c r="E35" s="6"/>
      <c r="F35" s="7"/>
      <c r="H35" s="2">
        <f>SUM(H28:H34)</f>
        <v>-3091</v>
      </c>
      <c r="I35" s="2">
        <f>SUM(I28:I34)</f>
        <v>-3791</v>
      </c>
    </row>
    <row r="36" spans="1:9" x14ac:dyDescent="0.3">
      <c r="B36" s="19" t="s">
        <v>12</v>
      </c>
      <c r="C36" s="3">
        <f>SUM(C35+C27+C19+C11)</f>
        <v>2100</v>
      </c>
      <c r="D36" s="3">
        <f>SUM(D35+D27+D19+D11)</f>
        <v>2200</v>
      </c>
      <c r="E36" s="6"/>
      <c r="F36" s="7"/>
      <c r="H36" s="3">
        <f>SUM(H35+H27+H19+H11)</f>
        <v>-1693.9399999999998</v>
      </c>
      <c r="I36" s="3">
        <f>SUM(I35+I27+I19+I11)</f>
        <v>-3793.9400000000005</v>
      </c>
    </row>
    <row r="37" spans="1:9" x14ac:dyDescent="0.3">
      <c r="B37" s="19" t="s">
        <v>13</v>
      </c>
      <c r="C37" s="1">
        <f>D36+C36</f>
        <v>4300</v>
      </c>
      <c r="E37" s="24"/>
      <c r="F37" s="25"/>
      <c r="H37" s="1">
        <f>I36+H36</f>
        <v>-5487.88</v>
      </c>
      <c r="I37" s="1">
        <f>J36+I36</f>
        <v>-3793.9400000000005</v>
      </c>
    </row>
    <row r="38" spans="1:9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1500</v>
      </c>
      <c r="E39" s="6" t="s">
        <v>180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/>
      <c r="F48" s="7"/>
      <c r="H48" s="4">
        <v>-26</v>
      </c>
      <c r="I48" s="1">
        <f>H48-C48</f>
        <v>-26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/>
      <c r="F49" s="7"/>
      <c r="H49" s="4">
        <v>-134</v>
      </c>
      <c r="I49" s="1">
        <f t="shared" ref="I49:I54" si="8">H49-C49</f>
        <v>-134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/>
      <c r="F50" s="7"/>
      <c r="H50" s="4">
        <v>-17</v>
      </c>
      <c r="I50" s="1">
        <f t="shared" si="8"/>
        <v>-17</v>
      </c>
    </row>
    <row r="51" spans="1:9" x14ac:dyDescent="0.3">
      <c r="A51" s="41"/>
      <c r="B51" s="41" t="s">
        <v>24</v>
      </c>
      <c r="C51" s="4">
        <v>1500</v>
      </c>
      <c r="D51" s="4">
        <v>1760</v>
      </c>
      <c r="E51" s="6" t="s">
        <v>177</v>
      </c>
      <c r="F51" s="7"/>
      <c r="H51" s="4">
        <v>1550</v>
      </c>
      <c r="I51" s="1">
        <f t="shared" si="8"/>
        <v>50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/>
      <c r="F52" s="7"/>
      <c r="H52" s="4">
        <v>93</v>
      </c>
      <c r="I52" s="1">
        <f t="shared" si="8"/>
        <v>93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/>
      <c r="F53" s="7"/>
      <c r="H53" s="4">
        <v>-43</v>
      </c>
      <c r="I53" s="1">
        <f t="shared" si="8"/>
        <v>-43</v>
      </c>
    </row>
    <row r="54" spans="1:9" x14ac:dyDescent="0.3">
      <c r="A54" s="41"/>
      <c r="B54" s="41" t="s">
        <v>27</v>
      </c>
      <c r="C54" s="4"/>
      <c r="D54" s="4">
        <v>0</v>
      </c>
      <c r="E54" s="6"/>
      <c r="F54" s="7"/>
      <c r="H54" s="4">
        <v>8</v>
      </c>
      <c r="I54" s="1">
        <f t="shared" si="8"/>
        <v>8</v>
      </c>
    </row>
    <row r="55" spans="1:9" x14ac:dyDescent="0.3">
      <c r="A55" s="41"/>
      <c r="B55" s="41" t="s">
        <v>29</v>
      </c>
      <c r="C55" s="2">
        <f>SUM(C48:C54)</f>
        <v>1500</v>
      </c>
      <c r="D55" s="2">
        <f>SUM(D48:D54)</f>
        <v>1760</v>
      </c>
      <c r="E55" s="6"/>
      <c r="F55" s="7"/>
      <c r="H55" s="2">
        <f>SUM(H48:H54)</f>
        <v>1431</v>
      </c>
      <c r="I55" s="2">
        <f>SUM(I48:I54)</f>
        <v>-69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181</v>
      </c>
      <c r="F56" s="7"/>
      <c r="H56" s="4">
        <v>-103</v>
      </c>
      <c r="I56" s="1">
        <f>H56-C56</f>
        <v>-103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181</v>
      </c>
      <c r="F57" s="7"/>
      <c r="H57" s="4">
        <v>-59</v>
      </c>
      <c r="I57" s="1">
        <f t="shared" ref="I57:I62" si="9">H57-C57</f>
        <v>-59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" t="s">
        <v>181</v>
      </c>
      <c r="F58" s="7"/>
      <c r="H58" s="4">
        <v>-13.81</v>
      </c>
      <c r="I58" s="1">
        <f t="shared" si="9"/>
        <v>-13.81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181</v>
      </c>
      <c r="F59" s="7"/>
      <c r="H59" s="4">
        <v>-56.53</v>
      </c>
      <c r="I59" s="1">
        <f t="shared" si="9"/>
        <v>-56.53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181</v>
      </c>
      <c r="F60" s="7"/>
      <c r="H60" s="4">
        <v>-50.84</v>
      </c>
      <c r="I60" s="1">
        <f t="shared" si="9"/>
        <v>-50.84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181</v>
      </c>
      <c r="F61" s="7"/>
      <c r="H61" s="4">
        <v>-10.16</v>
      </c>
      <c r="I61" s="1">
        <f t="shared" si="9"/>
        <v>-10.16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181</v>
      </c>
      <c r="F62" s="7"/>
      <c r="H62" s="4">
        <v>-4.58</v>
      </c>
      <c r="I62" s="1">
        <f t="shared" si="9"/>
        <v>-4.58</v>
      </c>
    </row>
    <row r="63" spans="1:9" x14ac:dyDescent="0.3">
      <c r="A63" s="41"/>
      <c r="B63" s="41" t="s">
        <v>29</v>
      </c>
      <c r="C63" s="2">
        <f>SUM(C56:C62)</f>
        <v>0</v>
      </c>
      <c r="D63" s="2">
        <f>SUM(D56:D62)</f>
        <v>0</v>
      </c>
      <c r="E63" s="6"/>
      <c r="F63" s="7"/>
      <c r="H63" s="2">
        <f>SUM(H56:H62)</f>
        <v>-297.92</v>
      </c>
      <c r="I63" s="2">
        <f>SUM(I56:I62)</f>
        <v>-297.92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182</v>
      </c>
      <c r="F64" s="7" t="s">
        <v>183</v>
      </c>
      <c r="H64" s="4">
        <v>-83</v>
      </c>
      <c r="I64" s="1">
        <f>H64-C64</f>
        <v>-83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182</v>
      </c>
      <c r="F65" s="7"/>
      <c r="H65" s="4">
        <v>-1.4</v>
      </c>
      <c r="I65" s="1">
        <f t="shared" ref="I65:I70" si="10">H65-C65</f>
        <v>-1.4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184</v>
      </c>
      <c r="F66" s="7"/>
      <c r="H66" s="4">
        <v>-0.7</v>
      </c>
      <c r="I66" s="1">
        <f t="shared" si="10"/>
        <v>-0.7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182</v>
      </c>
      <c r="F67" s="7"/>
      <c r="H67" s="4">
        <v>3.25</v>
      </c>
      <c r="I67" s="1">
        <f t="shared" si="10"/>
        <v>3.25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185</v>
      </c>
      <c r="F68" s="7" t="s">
        <v>186</v>
      </c>
      <c r="H68" s="4">
        <v>-39</v>
      </c>
      <c r="I68" s="1">
        <f t="shared" si="10"/>
        <v>-39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181</v>
      </c>
      <c r="F69" s="7"/>
      <c r="H69" s="4">
        <v>14</v>
      </c>
      <c r="I69" s="1">
        <f t="shared" si="10"/>
        <v>14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182</v>
      </c>
      <c r="F70" s="7" t="s">
        <v>187</v>
      </c>
      <c r="H70" s="4">
        <v>-29</v>
      </c>
      <c r="I70" s="1">
        <f t="shared" si="10"/>
        <v>-29</v>
      </c>
    </row>
    <row r="71" spans="1:9" x14ac:dyDescent="0.3">
      <c r="A71" s="41"/>
      <c r="B71" s="41" t="s">
        <v>29</v>
      </c>
      <c r="C71" s="2">
        <f>SUM(C64:C70)</f>
        <v>0</v>
      </c>
      <c r="D71" s="2">
        <f>SUM(D64:D70)</f>
        <v>0</v>
      </c>
      <c r="E71" s="6" t="s">
        <v>182</v>
      </c>
      <c r="F71" s="7"/>
      <c r="H71" s="2">
        <f>SUM(H64:H70)</f>
        <v>-135.85000000000002</v>
      </c>
      <c r="I71" s="2">
        <f>SUM(I64:I70)</f>
        <v>-135.85000000000002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182</v>
      </c>
      <c r="F72" s="7" t="s">
        <v>188</v>
      </c>
      <c r="H72" s="4">
        <v>-17.190000000000001</v>
      </c>
      <c r="I72" s="1">
        <f>H72-C72</f>
        <v>-17.190000000000001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189</v>
      </c>
      <c r="F73" s="7"/>
      <c r="H73" s="4">
        <v>96.99</v>
      </c>
      <c r="I73" s="1">
        <f t="shared" ref="I73:I78" si="11">H73-C73</f>
        <v>96.99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182</v>
      </c>
      <c r="F74" s="7" t="s">
        <v>190</v>
      </c>
      <c r="H74" s="4">
        <v>-38.479999999999997</v>
      </c>
      <c r="I74" s="1">
        <f t="shared" si="11"/>
        <v>-38.479999999999997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182</v>
      </c>
      <c r="F75" s="7" t="s">
        <v>191</v>
      </c>
      <c r="H75" s="4">
        <v>3.46</v>
      </c>
      <c r="I75" s="1">
        <f t="shared" si="11"/>
        <v>3.46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192</v>
      </c>
      <c r="F76" s="7" t="s">
        <v>193</v>
      </c>
      <c r="H76" s="4">
        <v>105.45</v>
      </c>
      <c r="I76" s="1">
        <f t="shared" si="11"/>
        <v>105.45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194</v>
      </c>
      <c r="F77" s="7"/>
      <c r="H77" s="4">
        <v>112.72</v>
      </c>
      <c r="I77" s="1">
        <f t="shared" si="11"/>
        <v>112.72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182</v>
      </c>
      <c r="F78" s="7"/>
      <c r="H78" s="4">
        <v>-61.9</v>
      </c>
      <c r="I78" s="1">
        <f t="shared" si="11"/>
        <v>-61.9</v>
      </c>
    </row>
    <row r="79" spans="1:9" x14ac:dyDescent="0.3">
      <c r="A79" s="41"/>
      <c r="B79" s="41" t="s">
        <v>11</v>
      </c>
      <c r="C79" s="2">
        <f>SUM(C72:C78)</f>
        <v>0</v>
      </c>
      <c r="D79" s="2">
        <f>SUM(D72:D78)</f>
        <v>0</v>
      </c>
      <c r="E79" s="6"/>
      <c r="F79" s="7"/>
      <c r="H79" s="2">
        <f t="shared" ref="H79:I79" si="12">SUM(H72:H78)</f>
        <v>201.05000000000004</v>
      </c>
      <c r="I79" s="2">
        <f t="shared" si="12"/>
        <v>201.05000000000004</v>
      </c>
    </row>
    <row r="80" spans="1:9" x14ac:dyDescent="0.3">
      <c r="A80" s="41"/>
      <c r="B80" s="41" t="s">
        <v>12</v>
      </c>
      <c r="C80" s="3">
        <f>SUM(C79+C71+C63+C55)</f>
        <v>1500</v>
      </c>
      <c r="D80" s="3">
        <f>SUM(D79+D71+D63+D55)</f>
        <v>1760</v>
      </c>
      <c r="E80" s="6"/>
      <c r="F80" s="7"/>
      <c r="H80" s="3">
        <f t="shared" ref="H80:I80" si="13">SUM(H79+H71+H63+H55)</f>
        <v>1198.28</v>
      </c>
      <c r="I80" s="3">
        <f t="shared" si="13"/>
        <v>-301.72000000000003</v>
      </c>
    </row>
    <row r="81" spans="1:9" x14ac:dyDescent="0.3">
      <c r="A81" s="41"/>
      <c r="B81" s="41" t="s">
        <v>13</v>
      </c>
      <c r="C81" s="1">
        <f>D80+C80</f>
        <v>3260</v>
      </c>
      <c r="E81" s="24"/>
      <c r="F81" s="25"/>
      <c r="H81" s="1">
        <f t="shared" ref="H81:I81" si="14">I80+H80</f>
        <v>896.56</v>
      </c>
      <c r="I81" s="1">
        <f t="shared" si="14"/>
        <v>-301.72000000000003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1760</v>
      </c>
      <c r="D83" s="41"/>
      <c r="E83" s="43" t="s">
        <v>180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182</v>
      </c>
      <c r="F92" s="7" t="s">
        <v>195</v>
      </c>
      <c r="H92" s="4">
        <v>336.96</v>
      </c>
      <c r="I92" s="1">
        <f>H92-C92</f>
        <v>336.96</v>
      </c>
    </row>
    <row r="93" spans="1:9" x14ac:dyDescent="0.3">
      <c r="A93" s="41"/>
      <c r="B93" s="41" t="s">
        <v>60</v>
      </c>
      <c r="C93" s="4"/>
      <c r="D93" s="4">
        <v>1400</v>
      </c>
      <c r="E93" s="6" t="s">
        <v>182</v>
      </c>
      <c r="F93" s="7"/>
      <c r="H93" s="4">
        <v>-385</v>
      </c>
      <c r="I93" s="1">
        <f t="shared" ref="I93:I98" si="15">H93-C93</f>
        <v>-385</v>
      </c>
    </row>
    <row r="94" spans="1:9" x14ac:dyDescent="0.3">
      <c r="A94" s="41"/>
      <c r="B94" s="41" t="s">
        <v>61</v>
      </c>
      <c r="C94" s="4">
        <v>1760</v>
      </c>
      <c r="D94" s="4">
        <v>0</v>
      </c>
      <c r="E94" s="6" t="s">
        <v>182</v>
      </c>
      <c r="F94" s="7"/>
      <c r="H94" s="4">
        <v>1763</v>
      </c>
      <c r="I94" s="1">
        <f t="shared" si="15"/>
        <v>3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182</v>
      </c>
      <c r="F95" s="7"/>
      <c r="H95" s="4">
        <v>3.58</v>
      </c>
      <c r="I95" s="1">
        <f t="shared" si="15"/>
        <v>3.58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185</v>
      </c>
      <c r="F96" s="7"/>
      <c r="H96" s="4">
        <v>-7.04</v>
      </c>
      <c r="I96" s="1">
        <f t="shared" si="15"/>
        <v>-7.04</v>
      </c>
    </row>
    <row r="97" spans="1:9" x14ac:dyDescent="0.3">
      <c r="A97" s="41"/>
      <c r="B97" s="41" t="s">
        <v>65</v>
      </c>
      <c r="C97" s="4">
        <v>0</v>
      </c>
      <c r="D97" s="4">
        <v>0</v>
      </c>
      <c r="E97" s="6" t="s">
        <v>182</v>
      </c>
      <c r="F97" s="7" t="s">
        <v>196</v>
      </c>
      <c r="H97" s="4">
        <v>-67.459999999999994</v>
      </c>
      <c r="I97" s="1">
        <f t="shared" si="15"/>
        <v>-67.459999999999994</v>
      </c>
    </row>
    <row r="98" spans="1:9" x14ac:dyDescent="0.3">
      <c r="A98" s="41"/>
      <c r="B98" s="41" t="s">
        <v>66</v>
      </c>
      <c r="C98" s="4">
        <v>0</v>
      </c>
      <c r="D98" s="4">
        <v>0</v>
      </c>
      <c r="E98" s="6"/>
      <c r="F98" s="7" t="s">
        <v>197</v>
      </c>
      <c r="H98" s="4">
        <v>118.43</v>
      </c>
      <c r="I98" s="1">
        <f t="shared" si="15"/>
        <v>118.43</v>
      </c>
    </row>
    <row r="99" spans="1:9" x14ac:dyDescent="0.3">
      <c r="A99" s="41"/>
      <c r="B99" s="41" t="s">
        <v>29</v>
      </c>
      <c r="C99" s="2"/>
      <c r="D99" s="2">
        <v>1400</v>
      </c>
      <c r="E99" s="6"/>
      <c r="F99" s="7"/>
      <c r="H99" s="2">
        <f>SUM(H92:H98)</f>
        <v>1762.47</v>
      </c>
      <c r="I99" s="2">
        <f>SUM(I92:I98)</f>
        <v>2.4699999999999989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"/>
      <c r="F100" s="7" t="s">
        <v>198</v>
      </c>
      <c r="H100" s="4">
        <v>-111.07</v>
      </c>
      <c r="I100" s="1">
        <f>H100-C100</f>
        <v>-111.07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16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16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16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6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6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6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-111.07</v>
      </c>
      <c r="I107" s="2">
        <f>SUM(I100:I106)</f>
        <v>-111.07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17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17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17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17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17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17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18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18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18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18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18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18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19">SUM(H116:H122)</f>
        <v>0</v>
      </c>
      <c r="I123" s="2">
        <f t="shared" si="19"/>
        <v>0</v>
      </c>
    </row>
    <row r="124" spans="1:9" x14ac:dyDescent="0.3">
      <c r="A124" s="41"/>
      <c r="B124" s="41" t="s">
        <v>12</v>
      </c>
      <c r="C124" s="3">
        <f>SUM(C123+C115+C107+C99)</f>
        <v>0</v>
      </c>
      <c r="D124" s="3">
        <f>SUM(D123+D115+D107+D99)</f>
        <v>1400</v>
      </c>
      <c r="E124" s="6"/>
      <c r="F124" s="7"/>
      <c r="H124" s="3">
        <f t="shared" ref="H124:I124" si="20">SUM(H123+H115+H107+H99)</f>
        <v>1651.4</v>
      </c>
      <c r="I124" s="3">
        <f t="shared" si="20"/>
        <v>-108.6</v>
      </c>
    </row>
    <row r="125" spans="1:9" x14ac:dyDescent="0.3">
      <c r="A125" s="41"/>
      <c r="B125" s="41" t="s">
        <v>13</v>
      </c>
      <c r="C125" s="1">
        <f>D124+C124</f>
        <v>1400</v>
      </c>
      <c r="E125" s="24"/>
      <c r="F125" s="25"/>
      <c r="H125" s="1">
        <f t="shared" ref="H125:I125" si="21">I124+H124</f>
        <v>1542.8000000000002</v>
      </c>
      <c r="I125" s="1">
        <f t="shared" si="21"/>
        <v>-108.6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2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2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2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2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2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2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3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3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3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3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3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3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4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4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4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4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4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4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5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5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5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5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5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5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6">SUM(H160:H166)</f>
        <v>0</v>
      </c>
      <c r="I167" s="2">
        <f t="shared" si="26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27">SUM(H167+H159+H151+H143)</f>
        <v>0</v>
      </c>
      <c r="I168" s="3">
        <f t="shared" si="27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28">I168+H168</f>
        <v>0</v>
      </c>
      <c r="I169" s="1">
        <f t="shared" si="28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29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29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29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29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29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29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0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0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0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0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0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0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1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1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1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1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1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1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2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2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2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2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2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2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3">SUM(H204:H210)</f>
        <v>0</v>
      </c>
      <c r="I211" s="2">
        <f t="shared" si="33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4">SUM(H211+H203+H195+H187)</f>
        <v>0</v>
      </c>
      <c r="I212" s="3">
        <f t="shared" si="34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5">I212+H212</f>
        <v>0</v>
      </c>
      <c r="I213" s="1">
        <f t="shared" si="35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D171E-B8B0-4636-A33E-96858B337155}">
  <sheetPr codeName="Sheet5"/>
  <dimension ref="A1:I222"/>
  <sheetViews>
    <sheetView showGridLines="0" workbookViewId="0">
      <pane xSplit="2" ySplit="3" topLeftCell="D93" activePane="bottomRight" state="frozen"/>
      <selection pane="topRight" activeCell="C1" sqref="C1"/>
      <selection pane="bottomLeft" activeCell="A4" sqref="A4"/>
      <selection pane="bottomRight" activeCell="F95" sqref="F95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  <col min="8" max="8" width="8.6640625" bestFit="1" customWidth="1"/>
  </cols>
  <sheetData>
    <row r="1" spans="2:9" ht="18.75" customHeight="1" x14ac:dyDescent="0.3">
      <c r="B1" s="15"/>
      <c r="C1" s="14" t="s">
        <v>199</v>
      </c>
      <c r="D1" s="14"/>
    </row>
    <row r="2" spans="2:9" x14ac:dyDescent="0.3">
      <c r="C2" s="5" t="s">
        <v>1</v>
      </c>
      <c r="D2" s="5"/>
    </row>
    <row r="3" spans="2:9" ht="86.4" x14ac:dyDescent="0.3">
      <c r="B3" s="19"/>
      <c r="C3" s="23" t="s">
        <v>200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1000</v>
      </c>
      <c r="D4" s="4">
        <v>0</v>
      </c>
      <c r="E4" s="6" t="s">
        <v>201</v>
      </c>
      <c r="F4" s="7"/>
      <c r="H4" s="4"/>
      <c r="I4" s="1">
        <f>H4-C4</f>
        <v>-1000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1000</v>
      </c>
      <c r="D7" s="4">
        <v>0</v>
      </c>
      <c r="E7" s="6" t="s">
        <v>201</v>
      </c>
      <c r="F7" s="7"/>
      <c r="H7" s="4"/>
      <c r="I7" s="1">
        <f t="shared" si="0"/>
        <v>-1000</v>
      </c>
    </row>
    <row r="8" spans="2:9" x14ac:dyDescent="0.3">
      <c r="B8" s="20">
        <f t="shared" si="1"/>
        <v>46247</v>
      </c>
      <c r="C8" s="4">
        <v>0</v>
      </c>
      <c r="D8" s="4">
        <v>3000</v>
      </c>
      <c r="E8" s="6" t="s">
        <v>201</v>
      </c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/>
      <c r="I9" s="1">
        <f t="shared" si="0"/>
        <v>0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/>
      <c r="I10" s="1">
        <f t="shared" si="0"/>
        <v>0</v>
      </c>
    </row>
    <row r="11" spans="2:9" x14ac:dyDescent="0.3">
      <c r="B11" s="21" t="s">
        <v>11</v>
      </c>
      <c r="C11" s="2">
        <f>SUM(C4:C10)</f>
        <v>2000</v>
      </c>
      <c r="D11" s="2">
        <f>SUM(D4:D10)</f>
        <v>3000</v>
      </c>
      <c r="E11" s="6"/>
      <c r="F11" s="7"/>
      <c r="H11" s="2">
        <f>SUM(H4:H10)</f>
        <v>0</v>
      </c>
      <c r="I11" s="2">
        <f>SUM(I4:I10)</f>
        <v>-2000</v>
      </c>
    </row>
    <row r="12" spans="2:9" x14ac:dyDescent="0.3">
      <c r="B12" s="20">
        <f>B10+1</f>
        <v>46250</v>
      </c>
      <c r="C12" s="4">
        <v>1000</v>
      </c>
      <c r="D12" s="4">
        <v>0</v>
      </c>
      <c r="E12" s="6"/>
      <c r="F12" s="7"/>
      <c r="H12" s="4"/>
      <c r="I12" s="1">
        <f>H12-C12</f>
        <v>-1000</v>
      </c>
    </row>
    <row r="13" spans="2:9" x14ac:dyDescent="0.3">
      <c r="B13" s="20">
        <f>B12+1</f>
        <v>46251</v>
      </c>
      <c r="C13" s="4">
        <v>1000</v>
      </c>
      <c r="D13" s="4">
        <v>0</v>
      </c>
      <c r="E13" s="6" t="s">
        <v>201</v>
      </c>
      <c r="F13" s="7"/>
      <c r="H13" s="4"/>
      <c r="I13" s="1">
        <f t="shared" ref="I13:I18" si="2">H13-C13</f>
        <v>-1000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/>
      <c r="I16" s="1">
        <f t="shared" si="2"/>
        <v>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2000</v>
      </c>
      <c r="D19" s="2">
        <f>SUM(D12:D18)</f>
        <v>0</v>
      </c>
      <c r="E19" s="6"/>
      <c r="F19" s="7"/>
      <c r="H19" s="2">
        <f>SUM(H12:H18)</f>
        <v>0</v>
      </c>
      <c r="I19" s="2">
        <f>SUM(I12:I18)</f>
        <v>-2000</v>
      </c>
    </row>
    <row r="20" spans="2:9" x14ac:dyDescent="0.3">
      <c r="B20" s="20">
        <f>B18+1</f>
        <v>46257</v>
      </c>
      <c r="C20" s="4">
        <v>1000</v>
      </c>
      <c r="D20" s="4">
        <v>0</v>
      </c>
      <c r="E20" s="6" t="s">
        <v>201</v>
      </c>
      <c r="F20" s="7"/>
      <c r="H20" s="4"/>
      <c r="I20" s="1">
        <f>H20-C20</f>
        <v>-1000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 t="s">
        <v>202</v>
      </c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 t="s">
        <v>202</v>
      </c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990</v>
      </c>
      <c r="D23" s="4">
        <v>2990</v>
      </c>
      <c r="E23" s="6" t="s">
        <v>202</v>
      </c>
      <c r="F23" s="7"/>
      <c r="H23" s="4">
        <v>1011</v>
      </c>
      <c r="I23" s="1">
        <f t="shared" si="4"/>
        <v>21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 t="s">
        <v>203</v>
      </c>
      <c r="F24" s="7"/>
      <c r="H24" s="4">
        <v>15</v>
      </c>
      <c r="I24" s="1">
        <f t="shared" si="4"/>
        <v>15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 t="s">
        <v>203</v>
      </c>
      <c r="F25" s="7"/>
      <c r="H25" s="4">
        <v>12</v>
      </c>
      <c r="I25" s="1">
        <f t="shared" si="4"/>
        <v>12</v>
      </c>
    </row>
    <row r="26" spans="2:9" ht="15" thickBot="1" x14ac:dyDescent="0.35">
      <c r="B26" s="20">
        <f t="shared" si="5"/>
        <v>46263</v>
      </c>
      <c r="C26" s="4">
        <v>1000</v>
      </c>
      <c r="D26" s="4">
        <v>0</v>
      </c>
      <c r="E26" s="6" t="s">
        <v>203</v>
      </c>
      <c r="F26" s="7"/>
      <c r="H26" s="4">
        <v>1030</v>
      </c>
      <c r="I26" s="1">
        <f t="shared" si="4"/>
        <v>30</v>
      </c>
    </row>
    <row r="27" spans="2:9" x14ac:dyDescent="0.3">
      <c r="B27" s="21" t="s">
        <v>11</v>
      </c>
      <c r="C27" s="2">
        <f>SUM(C20:C26)</f>
        <v>2990</v>
      </c>
      <c r="D27" s="2">
        <f>SUM(D20:D26)</f>
        <v>2990</v>
      </c>
      <c r="E27" s="6"/>
      <c r="F27" s="7"/>
      <c r="H27" s="2">
        <f>SUM(H20:H26)</f>
        <v>2068</v>
      </c>
      <c r="I27" s="2">
        <f>SUM(I20:I26)</f>
        <v>-922</v>
      </c>
    </row>
    <row r="28" spans="2:9" x14ac:dyDescent="0.3">
      <c r="B28" s="20">
        <f>B26+1</f>
        <v>46264</v>
      </c>
      <c r="C28" s="4">
        <v>1000</v>
      </c>
      <c r="D28" s="4">
        <v>0</v>
      </c>
      <c r="E28" s="6" t="s">
        <v>203</v>
      </c>
      <c r="F28" s="7"/>
      <c r="H28" s="4">
        <v>19</v>
      </c>
      <c r="I28" s="1">
        <f>H28-C28</f>
        <v>-981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 t="s">
        <v>202</v>
      </c>
      <c r="F29" s="7"/>
      <c r="H29" s="4">
        <v>3</v>
      </c>
      <c r="I29" s="1">
        <f t="shared" ref="I29:I34" si="6">H29-C29</f>
        <v>3</v>
      </c>
    </row>
    <row r="30" spans="2:9" x14ac:dyDescent="0.3">
      <c r="B30" s="20">
        <f t="shared" ref="B30:B34" si="7">B29+1</f>
        <v>46266</v>
      </c>
      <c r="C30" s="4">
        <v>0</v>
      </c>
      <c r="D30" s="4">
        <v>3000</v>
      </c>
      <c r="E30" s="6" t="s">
        <v>203</v>
      </c>
      <c r="F30" s="7" t="s">
        <v>204</v>
      </c>
      <c r="H30" s="4">
        <v>3007</v>
      </c>
      <c r="I30" s="1">
        <f t="shared" si="6"/>
        <v>3007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 t="s">
        <v>202</v>
      </c>
      <c r="F31" s="7"/>
      <c r="H31" s="4">
        <v>17</v>
      </c>
      <c r="I31" s="1">
        <f t="shared" si="6"/>
        <v>17</v>
      </c>
    </row>
    <row r="32" spans="2:9" x14ac:dyDescent="0.3">
      <c r="B32" s="20">
        <f t="shared" si="7"/>
        <v>46268</v>
      </c>
      <c r="C32" s="4">
        <v>1000</v>
      </c>
      <c r="D32" s="4">
        <v>0</v>
      </c>
      <c r="E32" s="6" t="s">
        <v>201</v>
      </c>
      <c r="F32" s="7"/>
      <c r="H32" s="4">
        <v>1012</v>
      </c>
      <c r="I32" s="1">
        <f t="shared" si="6"/>
        <v>12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 t="s">
        <v>203</v>
      </c>
      <c r="F33" s="7"/>
      <c r="H33" s="4">
        <v>14</v>
      </c>
      <c r="I33" s="1">
        <f t="shared" si="6"/>
        <v>14</v>
      </c>
    </row>
    <row r="34" spans="1:9" ht="15" thickBot="1" x14ac:dyDescent="0.35">
      <c r="B34" s="20">
        <f t="shared" si="7"/>
        <v>46270</v>
      </c>
      <c r="C34" s="4">
        <v>0</v>
      </c>
      <c r="D34" s="4">
        <v>0</v>
      </c>
      <c r="E34" s="6" t="s">
        <v>203</v>
      </c>
      <c r="F34" s="7"/>
      <c r="H34" s="4">
        <v>8</v>
      </c>
      <c r="I34" s="1">
        <f t="shared" si="6"/>
        <v>8</v>
      </c>
    </row>
    <row r="35" spans="1:9" x14ac:dyDescent="0.3">
      <c r="B35" s="19" t="s">
        <v>11</v>
      </c>
      <c r="C35" s="2">
        <f>SUM(C28:C34)</f>
        <v>2000</v>
      </c>
      <c r="D35" s="2">
        <f>SUM(D28:D34)</f>
        <v>3000</v>
      </c>
      <c r="E35" s="6"/>
      <c r="F35" s="7"/>
      <c r="H35" s="2">
        <f t="shared" ref="H35:I35" si="8">SUM(H28:H34)</f>
        <v>4080</v>
      </c>
      <c r="I35" s="2">
        <f t="shared" si="8"/>
        <v>2080</v>
      </c>
    </row>
    <row r="36" spans="1:9" x14ac:dyDescent="0.3">
      <c r="B36" s="19" t="s">
        <v>12</v>
      </c>
      <c r="C36" s="3">
        <f>SUM(C35+C27+C19+C11)</f>
        <v>8990</v>
      </c>
      <c r="D36" s="3">
        <f>SUM(D35+D27+D19+D11)</f>
        <v>8990</v>
      </c>
      <c r="E36" s="6"/>
      <c r="F36" s="7"/>
      <c r="H36" s="3">
        <f t="shared" ref="H36:I36" si="9">SUM(H35+H27+H19+H11)</f>
        <v>6148</v>
      </c>
      <c r="I36" s="3">
        <f t="shared" si="9"/>
        <v>-2842</v>
      </c>
    </row>
    <row r="37" spans="1:9" ht="15" thickBot="1" x14ac:dyDescent="0.35">
      <c r="B37" s="19" t="s">
        <v>13</v>
      </c>
      <c r="C37" s="1">
        <f>D36+C36</f>
        <v>17980</v>
      </c>
      <c r="E37" s="24"/>
      <c r="F37" s="25"/>
      <c r="H37" s="1">
        <f t="shared" ref="H37:I37" si="10">I36+H36</f>
        <v>3306</v>
      </c>
      <c r="I37" s="1">
        <f t="shared" si="10"/>
        <v>-2842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4000</v>
      </c>
      <c r="E39" s="6"/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1000</v>
      </c>
      <c r="D48" s="4">
        <v>0</v>
      </c>
      <c r="E48" s="6" t="s">
        <v>201</v>
      </c>
      <c r="F48" s="7"/>
      <c r="H48" s="4">
        <v>1014</v>
      </c>
      <c r="I48" s="1">
        <f>H48-C48</f>
        <v>14</v>
      </c>
    </row>
    <row r="49" spans="1:9" x14ac:dyDescent="0.3">
      <c r="A49" s="41"/>
      <c r="B49" s="41" t="s">
        <v>22</v>
      </c>
      <c r="C49" s="4">
        <v>1000</v>
      </c>
      <c r="D49" s="4">
        <v>0</v>
      </c>
      <c r="E49" s="6" t="s">
        <v>202</v>
      </c>
      <c r="F49" s="7"/>
      <c r="H49" s="4">
        <v>975</v>
      </c>
      <c r="I49" s="1">
        <f>H49-C49</f>
        <v>-25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202</v>
      </c>
      <c r="F50" s="7"/>
      <c r="H50" s="4">
        <v>38.64</v>
      </c>
      <c r="I50" s="1">
        <f t="shared" ref="I50:I54" si="11">H50-C50</f>
        <v>38.64</v>
      </c>
    </row>
    <row r="51" spans="1:9" x14ac:dyDescent="0.3">
      <c r="A51" s="41"/>
      <c r="B51" s="41" t="s">
        <v>24</v>
      </c>
      <c r="C51" s="4">
        <v>0</v>
      </c>
      <c r="D51" s="4">
        <v>3000</v>
      </c>
      <c r="E51" s="6" t="s">
        <v>202</v>
      </c>
      <c r="F51" s="7" t="s">
        <v>205</v>
      </c>
      <c r="H51" s="4">
        <v>20.98</v>
      </c>
      <c r="I51" s="1">
        <f t="shared" si="11"/>
        <v>20.98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 t="s">
        <v>203</v>
      </c>
      <c r="F52" s="7"/>
      <c r="H52" s="4">
        <v>-2</v>
      </c>
      <c r="I52" s="1">
        <f t="shared" si="11"/>
        <v>-2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203</v>
      </c>
      <c r="F53" s="7"/>
      <c r="H53" s="4">
        <v>-99</v>
      </c>
      <c r="I53" s="1">
        <f t="shared" si="11"/>
        <v>-99</v>
      </c>
    </row>
    <row r="54" spans="1:9" x14ac:dyDescent="0.3">
      <c r="A54" s="41"/>
      <c r="B54" s="41" t="s">
        <v>27</v>
      </c>
      <c r="C54" s="4">
        <v>1000</v>
      </c>
      <c r="D54" s="4">
        <v>0</v>
      </c>
      <c r="E54" s="6" t="s">
        <v>203</v>
      </c>
      <c r="F54" s="7"/>
      <c r="H54" s="4">
        <v>1005</v>
      </c>
      <c r="I54" s="1">
        <f t="shared" si="11"/>
        <v>5</v>
      </c>
    </row>
    <row r="55" spans="1:9" x14ac:dyDescent="0.3">
      <c r="A55" s="41"/>
      <c r="B55" s="41" t="s">
        <v>29</v>
      </c>
      <c r="C55" s="2">
        <f>SUM(C48:C54)</f>
        <v>3000</v>
      </c>
      <c r="D55" s="2">
        <f>SUM(D48:D54)</f>
        <v>3000</v>
      </c>
      <c r="E55" s="6"/>
      <c r="F55" s="7"/>
      <c r="H55" s="2">
        <f>SUM(H48:H54)</f>
        <v>2952.62</v>
      </c>
      <c r="I55" s="2">
        <f>SUM(I48:I54)</f>
        <v>-47.379999999999995</v>
      </c>
    </row>
    <row r="56" spans="1:9" x14ac:dyDescent="0.3">
      <c r="A56" s="41"/>
      <c r="B56" s="41" t="s">
        <v>30</v>
      </c>
      <c r="C56" s="4">
        <v>1000</v>
      </c>
      <c r="D56" s="4">
        <v>0</v>
      </c>
      <c r="E56" s="6" t="s">
        <v>203</v>
      </c>
      <c r="F56" s="7"/>
      <c r="H56" s="4">
        <v>1093</v>
      </c>
      <c r="I56" s="1">
        <f>H56-C56</f>
        <v>93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202</v>
      </c>
      <c r="F57" s="7"/>
      <c r="H57" s="4">
        <v>-33</v>
      </c>
      <c r="I57" s="1">
        <f t="shared" ref="I57:I62" si="12">H57-C57</f>
        <v>-33</v>
      </c>
    </row>
    <row r="58" spans="1:9" x14ac:dyDescent="0.3">
      <c r="A58" s="41"/>
      <c r="B58" s="41" t="s">
        <v>32</v>
      </c>
      <c r="C58" s="4">
        <v>1000</v>
      </c>
      <c r="D58" s="4">
        <v>3000</v>
      </c>
      <c r="E58" s="6" t="s">
        <v>206</v>
      </c>
      <c r="F58" s="7" t="s">
        <v>207</v>
      </c>
      <c r="H58" s="4">
        <v>979</v>
      </c>
      <c r="I58" s="1">
        <f t="shared" si="12"/>
        <v>-21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203</v>
      </c>
      <c r="F59" s="7"/>
      <c r="H59" s="4">
        <v>45</v>
      </c>
      <c r="I59" s="1">
        <f t="shared" si="12"/>
        <v>45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203</v>
      </c>
      <c r="F60" s="7"/>
      <c r="H60" s="4">
        <v>29</v>
      </c>
      <c r="I60" s="1">
        <f t="shared" si="12"/>
        <v>29</v>
      </c>
    </row>
    <row r="61" spans="1:9" x14ac:dyDescent="0.3">
      <c r="A61" s="41"/>
      <c r="B61" s="41" t="s">
        <v>36</v>
      </c>
      <c r="C61" s="4">
        <v>1000</v>
      </c>
      <c r="D61" s="4">
        <v>0</v>
      </c>
      <c r="E61" s="6" t="s">
        <v>203</v>
      </c>
      <c r="F61" s="7"/>
      <c r="H61" s="4">
        <v>915</v>
      </c>
      <c r="I61" s="1">
        <f t="shared" si="12"/>
        <v>-85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203</v>
      </c>
      <c r="F62" s="7"/>
      <c r="H62" s="4"/>
      <c r="I62" s="1">
        <f t="shared" si="12"/>
        <v>0</v>
      </c>
    </row>
    <row r="63" spans="1:9" x14ac:dyDescent="0.3">
      <c r="A63" s="41"/>
      <c r="B63" s="41" t="s">
        <v>29</v>
      </c>
      <c r="C63" s="2">
        <f>SUM(C56:C62)</f>
        <v>3000</v>
      </c>
      <c r="D63" s="2">
        <f>SUM(D56:D62)</f>
        <v>3000</v>
      </c>
      <c r="E63" s="6"/>
      <c r="F63" s="7"/>
      <c r="H63" s="2">
        <f>SUM(H56:H62)</f>
        <v>3028</v>
      </c>
      <c r="I63" s="2">
        <f>SUM(I56:I62)</f>
        <v>28</v>
      </c>
    </row>
    <row r="64" spans="1:9" x14ac:dyDescent="0.3">
      <c r="A64" s="41"/>
      <c r="B64" s="41" t="s">
        <v>38</v>
      </c>
      <c r="C64" s="4">
        <v>1000</v>
      </c>
      <c r="D64" s="4">
        <v>0</v>
      </c>
      <c r="E64" s="6" t="s">
        <v>202</v>
      </c>
      <c r="F64" s="7"/>
      <c r="H64" s="4">
        <v>980</v>
      </c>
      <c r="I64" s="1">
        <f>H64-C64</f>
        <v>-20</v>
      </c>
    </row>
    <row r="65" spans="1:9" x14ac:dyDescent="0.3">
      <c r="A65" s="41"/>
      <c r="B65" s="41" t="s">
        <v>39</v>
      </c>
      <c r="C65" s="4">
        <v>1000</v>
      </c>
      <c r="D65" s="4">
        <v>0</v>
      </c>
      <c r="E65" s="6" t="s">
        <v>202</v>
      </c>
      <c r="F65" s="7"/>
      <c r="H65" s="4">
        <v>988</v>
      </c>
      <c r="I65" s="1">
        <f t="shared" ref="I65:I70" si="13">H65-C65</f>
        <v>-12</v>
      </c>
    </row>
    <row r="66" spans="1:9" x14ac:dyDescent="0.3">
      <c r="A66" s="41"/>
      <c r="B66" s="41" t="s">
        <v>40</v>
      </c>
      <c r="C66" s="4">
        <v>0</v>
      </c>
      <c r="D66" s="4">
        <v>3000</v>
      </c>
      <c r="E66" s="6" t="s">
        <v>206</v>
      </c>
      <c r="F66" s="7" t="s">
        <v>208</v>
      </c>
      <c r="H66" s="4">
        <v>19.34</v>
      </c>
      <c r="I66" s="1">
        <f t="shared" si="13"/>
        <v>19.34</v>
      </c>
    </row>
    <row r="67" spans="1:9" x14ac:dyDescent="0.3">
      <c r="A67" s="41"/>
      <c r="B67" s="41" t="s">
        <v>41</v>
      </c>
      <c r="C67" s="4">
        <v>1000</v>
      </c>
      <c r="D67" s="4">
        <v>0</v>
      </c>
      <c r="E67" s="6" t="s">
        <v>203</v>
      </c>
      <c r="F67" s="7" t="s">
        <v>209</v>
      </c>
      <c r="H67" s="4">
        <v>946.05</v>
      </c>
      <c r="I67" s="1">
        <f t="shared" si="13"/>
        <v>-53.950000000000045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203</v>
      </c>
      <c r="F68" s="7"/>
      <c r="H68" s="4">
        <v>14</v>
      </c>
      <c r="I68" s="1">
        <f t="shared" si="13"/>
        <v>14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203</v>
      </c>
      <c r="F69" s="7"/>
      <c r="H69" s="4">
        <v>-1</v>
      </c>
      <c r="I69" s="1">
        <f t="shared" si="13"/>
        <v>-1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202</v>
      </c>
      <c r="F70" s="7"/>
      <c r="H70" s="4">
        <v>-4.7699999999999996</v>
      </c>
      <c r="I70" s="1">
        <f t="shared" si="13"/>
        <v>-4.7699999999999996</v>
      </c>
    </row>
    <row r="71" spans="1:9" x14ac:dyDescent="0.3">
      <c r="A71" s="41"/>
      <c r="B71" s="41" t="s">
        <v>29</v>
      </c>
      <c r="C71" s="2">
        <f>SUM(C64:C70)</f>
        <v>3000</v>
      </c>
      <c r="D71" s="2">
        <f>SUM(D64:D70)</f>
        <v>3000</v>
      </c>
      <c r="E71" s="6"/>
      <c r="F71" s="7"/>
      <c r="H71" s="2">
        <f>SUM(H64:H70)</f>
        <v>2941.62</v>
      </c>
      <c r="I71" s="2">
        <f>SUM(I64:I70)</f>
        <v>-58.380000000000038</v>
      </c>
    </row>
    <row r="72" spans="1:9" x14ac:dyDescent="0.3">
      <c r="A72" s="41"/>
      <c r="B72" s="41" t="s">
        <v>46</v>
      </c>
      <c r="C72" s="4">
        <v>1000</v>
      </c>
      <c r="D72" s="4">
        <v>0</v>
      </c>
      <c r="E72" s="6" t="s">
        <v>201</v>
      </c>
      <c r="F72" s="7"/>
      <c r="H72" s="4">
        <v>1005.26</v>
      </c>
      <c r="I72" s="1">
        <f>H72-C72</f>
        <v>5.2599999999999909</v>
      </c>
    </row>
    <row r="73" spans="1:9" x14ac:dyDescent="0.3">
      <c r="A73" s="41"/>
      <c r="B73" s="41" t="s">
        <v>47</v>
      </c>
      <c r="C73" s="4"/>
      <c r="D73" s="4">
        <v>0</v>
      </c>
      <c r="E73" s="6" t="s">
        <v>202</v>
      </c>
      <c r="F73" s="7"/>
      <c r="H73" s="4">
        <v>-23.55</v>
      </c>
      <c r="I73" s="1">
        <f t="shared" ref="I73:I78" si="14">H73-C73</f>
        <v>-23.55</v>
      </c>
    </row>
    <row r="74" spans="1:9" x14ac:dyDescent="0.3">
      <c r="A74" s="41"/>
      <c r="B74" s="41" t="s">
        <v>48</v>
      </c>
      <c r="C74" s="4">
        <v>1000</v>
      </c>
      <c r="D74" s="4">
        <v>3000</v>
      </c>
      <c r="E74" s="6" t="s">
        <v>206</v>
      </c>
      <c r="F74" s="7" t="s">
        <v>210</v>
      </c>
      <c r="H74" s="4">
        <v>1007.19</v>
      </c>
      <c r="I74" s="1">
        <f t="shared" si="14"/>
        <v>7.1900000000000546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202</v>
      </c>
      <c r="F75" s="7"/>
      <c r="H75" s="4">
        <v>2.91</v>
      </c>
      <c r="I75" s="1">
        <f t="shared" si="14"/>
        <v>2.91</v>
      </c>
    </row>
    <row r="76" spans="1:9" x14ac:dyDescent="0.3">
      <c r="A76" s="41"/>
      <c r="B76" s="41" t="s">
        <v>51</v>
      </c>
      <c r="C76" s="4">
        <v>1000</v>
      </c>
      <c r="D76" s="4">
        <v>0</v>
      </c>
      <c r="E76" s="6" t="s">
        <v>203</v>
      </c>
      <c r="F76" s="7"/>
      <c r="H76" s="4">
        <v>990</v>
      </c>
      <c r="I76" s="1">
        <f t="shared" si="14"/>
        <v>-10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203</v>
      </c>
      <c r="F77" s="7"/>
      <c r="H77" s="4">
        <v>24</v>
      </c>
      <c r="I77" s="1">
        <f t="shared" si="14"/>
        <v>24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203</v>
      </c>
      <c r="F78" s="7"/>
      <c r="H78" s="4">
        <v>-0.67</v>
      </c>
      <c r="I78" s="1">
        <f t="shared" si="14"/>
        <v>-0.67</v>
      </c>
    </row>
    <row r="79" spans="1:9" x14ac:dyDescent="0.3">
      <c r="A79" s="41"/>
      <c r="B79" s="41" t="s">
        <v>11</v>
      </c>
      <c r="C79" s="2">
        <f>SUM(C72:C78)</f>
        <v>3000</v>
      </c>
      <c r="D79" s="2">
        <f>SUM(D72:D78)</f>
        <v>3000</v>
      </c>
      <c r="E79" s="6"/>
      <c r="F79" s="7"/>
      <c r="H79" s="2">
        <f t="shared" ref="H79:I79" si="15">SUM(H72:H78)</f>
        <v>3005.1400000000003</v>
      </c>
      <c r="I79" s="2">
        <f t="shared" si="15"/>
        <v>5.140000000000045</v>
      </c>
    </row>
    <row r="80" spans="1:9" x14ac:dyDescent="0.3">
      <c r="A80" s="41"/>
      <c r="B80" s="41" t="s">
        <v>12</v>
      </c>
      <c r="C80" s="3">
        <f>SUM(C79+C71+C63+C55)</f>
        <v>12000</v>
      </c>
      <c r="D80" s="3">
        <f>SUM(D79+D71+D63+D55)</f>
        <v>12000</v>
      </c>
      <c r="E80" s="6"/>
      <c r="F80" s="7"/>
      <c r="H80" s="3">
        <f t="shared" ref="H80:I80" si="16">SUM(H79+H71+H63+H55)</f>
        <v>11927.380000000001</v>
      </c>
      <c r="I80" s="3">
        <f t="shared" si="16"/>
        <v>-72.61999999999999</v>
      </c>
    </row>
    <row r="81" spans="1:9" x14ac:dyDescent="0.3">
      <c r="A81" s="41"/>
      <c r="B81" s="41" t="s">
        <v>13</v>
      </c>
      <c r="C81" s="1">
        <f>D80+C80</f>
        <v>24000</v>
      </c>
      <c r="E81" s="24"/>
      <c r="F81" s="25"/>
      <c r="H81" s="1">
        <f t="shared" ref="H81:I81" si="17">I80+H80</f>
        <v>11854.76</v>
      </c>
      <c r="I81" s="1">
        <f t="shared" si="17"/>
        <v>-72.61999999999999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15</v>
      </c>
      <c r="C83" s="49">
        <v>4000</v>
      </c>
      <c r="D83" s="41"/>
      <c r="E83" s="43" t="s">
        <v>201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1000</v>
      </c>
      <c r="D92" s="4">
        <v>0</v>
      </c>
      <c r="E92" s="6" t="s">
        <v>202</v>
      </c>
      <c r="F92" s="7"/>
      <c r="H92" s="4">
        <v>986.43</v>
      </c>
      <c r="I92" s="1">
        <f>H92-C92</f>
        <v>-13.57000000000005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202</v>
      </c>
      <c r="F93" s="7"/>
      <c r="H93" s="4">
        <v>11.01</v>
      </c>
      <c r="I93" s="1">
        <f t="shared" ref="I93:I98" si="18">H93-C93</f>
        <v>11.01</v>
      </c>
    </row>
    <row r="94" spans="1:9" x14ac:dyDescent="0.3">
      <c r="A94" s="41"/>
      <c r="B94" s="41" t="s">
        <v>61</v>
      </c>
      <c r="C94" s="4">
        <v>0</v>
      </c>
      <c r="D94" s="4">
        <v>3000</v>
      </c>
      <c r="E94" s="6" t="s">
        <v>202</v>
      </c>
      <c r="F94" s="7" t="s">
        <v>211</v>
      </c>
      <c r="H94" s="4">
        <v>227.09</v>
      </c>
      <c r="I94" s="1">
        <f t="shared" si="18"/>
        <v>227.09</v>
      </c>
    </row>
    <row r="95" spans="1:9" x14ac:dyDescent="0.3">
      <c r="A95" s="41"/>
      <c r="B95" s="41" t="s">
        <v>63</v>
      </c>
      <c r="C95" s="4">
        <v>1000</v>
      </c>
      <c r="D95" s="4">
        <v>0</v>
      </c>
      <c r="E95" s="6" t="s">
        <v>202</v>
      </c>
      <c r="F95" s="7" t="s">
        <v>212</v>
      </c>
      <c r="H95" s="4">
        <v>825</v>
      </c>
      <c r="I95" s="1">
        <f t="shared" si="18"/>
        <v>-175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203</v>
      </c>
      <c r="F96" s="7" t="s">
        <v>213</v>
      </c>
      <c r="H96" s="4">
        <v>16</v>
      </c>
      <c r="I96" s="1">
        <f t="shared" si="18"/>
        <v>16</v>
      </c>
    </row>
    <row r="97" spans="1:9" x14ac:dyDescent="0.3">
      <c r="A97" s="41"/>
      <c r="B97" s="41" t="s">
        <v>65</v>
      </c>
      <c r="C97" s="4">
        <v>1000</v>
      </c>
      <c r="D97" s="4"/>
      <c r="E97" s="6" t="s">
        <v>203</v>
      </c>
      <c r="F97" s="7"/>
      <c r="H97" s="4">
        <v>1019</v>
      </c>
      <c r="I97" s="1">
        <f t="shared" si="18"/>
        <v>19</v>
      </c>
    </row>
    <row r="98" spans="1:9" x14ac:dyDescent="0.3">
      <c r="A98" s="41"/>
      <c r="B98" s="41" t="s">
        <v>66</v>
      </c>
      <c r="C98" s="4">
        <v>0</v>
      </c>
      <c r="D98" s="4">
        <v>0</v>
      </c>
      <c r="E98" s="6" t="s">
        <v>202</v>
      </c>
      <c r="F98" s="7"/>
      <c r="H98" s="4">
        <v>-31.61</v>
      </c>
      <c r="I98" s="1">
        <f t="shared" si="18"/>
        <v>-31.61</v>
      </c>
    </row>
    <row r="99" spans="1:9" x14ac:dyDescent="0.3">
      <c r="A99" s="41"/>
      <c r="B99" s="41" t="s">
        <v>29</v>
      </c>
      <c r="C99" s="2">
        <f>SUM(C92:C98)</f>
        <v>3000</v>
      </c>
      <c r="D99" s="2">
        <f>SUM(D92:D98)</f>
        <v>3000</v>
      </c>
      <c r="E99" s="6"/>
      <c r="F99" s="7"/>
      <c r="H99" s="2">
        <f>SUM(H92:H98)</f>
        <v>3052.9199999999996</v>
      </c>
      <c r="I99" s="2">
        <f>SUM(I92:I98)</f>
        <v>52.919999999999945</v>
      </c>
    </row>
    <row r="100" spans="1:9" x14ac:dyDescent="0.3">
      <c r="A100" s="41"/>
      <c r="B100" s="41" t="s">
        <v>67</v>
      </c>
      <c r="C100" s="4">
        <v>1000</v>
      </c>
      <c r="D100" s="4">
        <v>0</v>
      </c>
      <c r="E100" s="6" t="s">
        <v>202</v>
      </c>
      <c r="F100" s="7"/>
      <c r="H100" s="4">
        <v>1025.4000000000001</v>
      </c>
      <c r="I100" s="1">
        <f>H100-C100</f>
        <v>25.400000000000091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19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19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19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9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9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9"/>
        <v>0</v>
      </c>
    </row>
    <row r="107" spans="1:9" x14ac:dyDescent="0.3">
      <c r="A107" s="41"/>
      <c r="B107" s="41" t="s">
        <v>29</v>
      </c>
      <c r="C107" s="2">
        <f>SUM(C100:C106)</f>
        <v>1000</v>
      </c>
      <c r="D107" s="2">
        <f>SUM(D100:D106)</f>
        <v>0</v>
      </c>
      <c r="E107" s="6"/>
      <c r="F107" s="7"/>
      <c r="H107" s="2">
        <f>SUM(H100:H106)</f>
        <v>1025.4000000000001</v>
      </c>
      <c r="I107" s="2">
        <f>SUM(I100:I106)</f>
        <v>25.400000000000091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0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0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0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0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0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0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1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1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1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1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1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21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2">SUM(H116:H122)</f>
        <v>0</v>
      </c>
      <c r="I123" s="2">
        <f t="shared" si="22"/>
        <v>0</v>
      </c>
    </row>
    <row r="124" spans="1:9" x14ac:dyDescent="0.3">
      <c r="A124" s="41"/>
      <c r="B124" s="41" t="s">
        <v>12</v>
      </c>
      <c r="C124" s="3">
        <f>SUM(C123+C115+C107+C99)</f>
        <v>4000</v>
      </c>
      <c r="D124" s="3">
        <f>SUM(D123+D115+D107+D99)</f>
        <v>3000</v>
      </c>
      <c r="E124" s="6"/>
      <c r="F124" s="7"/>
      <c r="H124" s="3">
        <f t="shared" ref="H124:I124" si="23">SUM(H123+H115+H107+H99)</f>
        <v>4078.3199999999997</v>
      </c>
      <c r="I124" s="3">
        <f t="shared" si="23"/>
        <v>78.320000000000036</v>
      </c>
    </row>
    <row r="125" spans="1:9" x14ac:dyDescent="0.3">
      <c r="A125" s="41"/>
      <c r="B125" s="41" t="s">
        <v>13</v>
      </c>
      <c r="C125" s="1">
        <f>D124+C124</f>
        <v>7000</v>
      </c>
      <c r="E125" s="24"/>
      <c r="F125" s="25"/>
      <c r="H125" s="1">
        <f t="shared" ref="H125:I125" si="24">I124+H124</f>
        <v>4156.6399999999994</v>
      </c>
      <c r="I125" s="1">
        <f t="shared" si="24"/>
        <v>78.320000000000036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5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5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5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5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5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5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6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6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6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6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6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6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7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7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7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7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7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7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8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8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8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8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8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8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9">SUM(H160:H166)</f>
        <v>0</v>
      </c>
      <c r="I167" s="2">
        <f t="shared" si="29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0">SUM(H167+H159+H151+H143)</f>
        <v>0</v>
      </c>
      <c r="I168" s="3">
        <f t="shared" si="30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1">I168+H168</f>
        <v>0</v>
      </c>
      <c r="I169" s="1">
        <f t="shared" si="31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2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2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2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2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2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2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3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3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3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3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3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3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4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4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4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4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4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4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5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5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5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5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5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5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6">SUM(H204:H210)</f>
        <v>0</v>
      </c>
      <c r="I211" s="2">
        <f t="shared" si="36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7">SUM(H211+H203+H195+H187)</f>
        <v>0</v>
      </c>
      <c r="I212" s="3">
        <f t="shared" si="37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8">I212+H212</f>
        <v>0</v>
      </c>
      <c r="I213" s="1">
        <f t="shared" si="38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412FE8-B53A-4CFB-8A19-171CC04C71FB}">
  <sheetPr codeName="Sheet6"/>
  <dimension ref="A1:I222"/>
  <sheetViews>
    <sheetView showGridLines="0" workbookViewId="0">
      <pane xSplit="2" ySplit="3" topLeftCell="C82" activePane="bottomRight" state="frozen"/>
      <selection pane="topRight" activeCell="C1" sqref="C1"/>
      <selection pane="bottomLeft" activeCell="A4" sqref="A4"/>
      <selection pane="bottomRight" activeCell="F96" sqref="F96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  <col min="8" max="8" width="10" customWidth="1"/>
  </cols>
  <sheetData>
    <row r="1" spans="2:9" ht="18.75" customHeight="1" x14ac:dyDescent="0.3">
      <c r="B1" s="15"/>
      <c r="C1" s="14" t="s">
        <v>214</v>
      </c>
      <c r="D1" s="14"/>
    </row>
    <row r="2" spans="2:9" x14ac:dyDescent="0.3">
      <c r="C2" s="5" t="s">
        <v>1</v>
      </c>
      <c r="D2" s="5"/>
    </row>
    <row r="3" spans="2:9" ht="57.6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/>
      <c r="E4" s="6" t="s">
        <v>215</v>
      </c>
      <c r="F4" s="7"/>
      <c r="H4" s="4">
        <v>16.57</v>
      </c>
      <c r="I4" s="1">
        <f>H4-C4</f>
        <v>16.57</v>
      </c>
    </row>
    <row r="5" spans="2:9" x14ac:dyDescent="0.3">
      <c r="B5" s="20">
        <f>B4+1</f>
        <v>46244</v>
      </c>
      <c r="C5" s="4">
        <v>0</v>
      </c>
      <c r="D5" s="4">
        <v>0</v>
      </c>
      <c r="E5" s="6" t="s">
        <v>215</v>
      </c>
      <c r="F5" s="7"/>
      <c r="H5" s="4">
        <v>12.63</v>
      </c>
      <c r="I5" s="1">
        <f t="shared" ref="I5:I10" si="0">H5-C5</f>
        <v>12.63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 t="s">
        <v>215</v>
      </c>
      <c r="F6" s="7"/>
      <c r="H6" s="4">
        <v>-3.06</v>
      </c>
      <c r="I6" s="1">
        <f t="shared" si="0"/>
        <v>-3.06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 t="s">
        <v>215</v>
      </c>
      <c r="F7" s="7"/>
      <c r="H7" s="4">
        <v>-4.55</v>
      </c>
      <c r="I7" s="1">
        <f t="shared" si="0"/>
        <v>-4.55</v>
      </c>
    </row>
    <row r="8" spans="2:9" x14ac:dyDescent="0.3">
      <c r="B8" s="20">
        <f t="shared" si="1"/>
        <v>46247</v>
      </c>
      <c r="C8" s="4">
        <v>0</v>
      </c>
      <c r="D8" s="4"/>
      <c r="E8" s="6" t="s">
        <v>215</v>
      </c>
      <c r="F8" s="7"/>
      <c r="H8" s="4">
        <v>51.44</v>
      </c>
      <c r="I8" s="1">
        <f t="shared" si="0"/>
        <v>51.44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 t="s">
        <v>215</v>
      </c>
      <c r="F9" s="7"/>
      <c r="H9" s="4">
        <v>-45.54</v>
      </c>
      <c r="I9" s="1">
        <f t="shared" si="0"/>
        <v>-45.54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 t="s">
        <v>215</v>
      </c>
      <c r="F10" s="7"/>
      <c r="H10" s="4">
        <v>14.9</v>
      </c>
      <c r="I10" s="1">
        <f t="shared" si="0"/>
        <v>14.9</v>
      </c>
    </row>
    <row r="11" spans="2:9" x14ac:dyDescent="0.3">
      <c r="B11" s="21" t="s">
        <v>11</v>
      </c>
      <c r="C11" s="2">
        <f>SUM(C4:C10)</f>
        <v>0</v>
      </c>
      <c r="D11" s="2">
        <f>SUM(D4:D10)</f>
        <v>0</v>
      </c>
      <c r="E11" s="6"/>
      <c r="F11" s="7"/>
      <c r="H11" s="2">
        <f>SUM(H4:H10)</f>
        <v>42.39</v>
      </c>
      <c r="I11" s="2">
        <f>SUM(I4:I10)</f>
        <v>42.39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 t="s">
        <v>215</v>
      </c>
      <c r="F12" s="7"/>
      <c r="H12" s="4">
        <v>-4</v>
      </c>
      <c r="I12" s="1">
        <f>H12-C12</f>
        <v>-4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 t="s">
        <v>215</v>
      </c>
      <c r="F13" s="7"/>
      <c r="H13" s="4">
        <v>-118.41</v>
      </c>
      <c r="I13" s="1">
        <f t="shared" ref="I13:I18" si="2">H13-C13</f>
        <v>-118.41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 t="s">
        <v>215</v>
      </c>
      <c r="F14" s="7"/>
      <c r="H14" s="4">
        <v>132.6</v>
      </c>
      <c r="I14" s="1">
        <f t="shared" si="2"/>
        <v>132.6</v>
      </c>
    </row>
    <row r="15" spans="2:9" x14ac:dyDescent="0.3">
      <c r="B15" s="20">
        <f t="shared" si="3"/>
        <v>46253</v>
      </c>
      <c r="C15" s="4">
        <v>0</v>
      </c>
      <c r="D15" s="4">
        <v>1500</v>
      </c>
      <c r="E15" s="6" t="s">
        <v>215</v>
      </c>
      <c r="F15" s="7"/>
      <c r="H15" s="4">
        <v>-1489.72</v>
      </c>
      <c r="I15" s="1">
        <f t="shared" si="2"/>
        <v>-1489.72</v>
      </c>
    </row>
    <row r="16" spans="2:9" x14ac:dyDescent="0.3">
      <c r="B16" s="20">
        <f t="shared" si="3"/>
        <v>46254</v>
      </c>
      <c r="C16" s="4">
        <v>1495</v>
      </c>
      <c r="D16" s="4"/>
      <c r="E16" s="6" t="s">
        <v>215</v>
      </c>
      <c r="F16" s="7"/>
      <c r="H16" s="4">
        <v>-17.93</v>
      </c>
      <c r="I16" s="1">
        <f t="shared" si="2"/>
        <v>-1512.93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 t="s">
        <v>215</v>
      </c>
      <c r="F17" s="7"/>
      <c r="H17" s="4">
        <v>110.74</v>
      </c>
      <c r="I17" s="1">
        <f t="shared" si="2"/>
        <v>110.74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 t="s">
        <v>215</v>
      </c>
      <c r="F18" s="7"/>
      <c r="H18" s="4">
        <v>-95.72</v>
      </c>
      <c r="I18" s="1">
        <f t="shared" si="2"/>
        <v>-95.72</v>
      </c>
    </row>
    <row r="19" spans="2:9" x14ac:dyDescent="0.3">
      <c r="B19" s="21" t="s">
        <v>11</v>
      </c>
      <c r="C19" s="2">
        <f>SUM(C12:C18)</f>
        <v>1495</v>
      </c>
      <c r="D19" s="2">
        <f>SUM(D12:D18)</f>
        <v>1500</v>
      </c>
      <c r="E19" s="6"/>
      <c r="F19" s="7"/>
      <c r="H19" s="2">
        <f>SUM(H12:H18)</f>
        <v>-1482.44</v>
      </c>
      <c r="I19" s="2">
        <f>SUM(I12:I18)</f>
        <v>-2977.44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 t="s">
        <v>215</v>
      </c>
      <c r="F20" s="7"/>
      <c r="H20" s="4">
        <v>16.22</v>
      </c>
      <c r="I20" s="1">
        <f>H20-C20</f>
        <v>16.22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 t="s">
        <v>215</v>
      </c>
      <c r="F21" s="7"/>
      <c r="H21" s="4">
        <v>0.65</v>
      </c>
      <c r="I21" s="1">
        <f t="shared" ref="I21:I26" si="4">H21-C21</f>
        <v>0.65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 t="s">
        <v>215</v>
      </c>
      <c r="F22" s="7"/>
      <c r="H22" s="4">
        <v>7.78</v>
      </c>
      <c r="I22" s="1">
        <f t="shared" si="4"/>
        <v>7.78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 t="s">
        <v>215</v>
      </c>
      <c r="F23" s="7"/>
      <c r="H23" s="4">
        <v>-1.2</v>
      </c>
      <c r="I23" s="1">
        <f t="shared" si="4"/>
        <v>-1.2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 t="s">
        <v>215</v>
      </c>
      <c r="F24" s="7"/>
      <c r="H24" s="4">
        <v>-2.21</v>
      </c>
      <c r="I24" s="1">
        <f t="shared" si="4"/>
        <v>-2.21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 t="s">
        <v>215</v>
      </c>
      <c r="F25" s="7"/>
      <c r="H25" s="4">
        <v>-22</v>
      </c>
      <c r="I25" s="1">
        <f t="shared" si="4"/>
        <v>-22</v>
      </c>
    </row>
    <row r="26" spans="2:9" ht="15" thickBot="1" x14ac:dyDescent="0.35">
      <c r="B26" s="20">
        <f t="shared" si="5"/>
        <v>46263</v>
      </c>
      <c r="C26" s="4">
        <v>0</v>
      </c>
      <c r="D26" s="4">
        <v>1655</v>
      </c>
      <c r="E26" s="6" t="s">
        <v>215</v>
      </c>
      <c r="F26" s="7"/>
      <c r="H26" s="4">
        <v>13.2</v>
      </c>
      <c r="I26" s="1">
        <f t="shared" si="4"/>
        <v>13.2</v>
      </c>
    </row>
    <row r="27" spans="2:9" x14ac:dyDescent="0.3">
      <c r="B27" s="21" t="s">
        <v>11</v>
      </c>
      <c r="C27" s="2">
        <f>SUM(C20:C26)</f>
        <v>0</v>
      </c>
      <c r="D27" s="2">
        <f>SUM(D20:D26)</f>
        <v>1655</v>
      </c>
      <c r="E27" s="6" t="s">
        <v>215</v>
      </c>
      <c r="F27" s="7"/>
      <c r="H27" s="2">
        <f>SUM(H20:H26)</f>
        <v>12.439999999999998</v>
      </c>
      <c r="I27" s="2">
        <f>SUM(I20:I26)</f>
        <v>12.439999999999998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 t="s">
        <v>215</v>
      </c>
      <c r="F28" s="7"/>
      <c r="H28" s="4">
        <v>-3107.7</v>
      </c>
      <c r="I28" s="1">
        <f>H28-C28</f>
        <v>-3107.7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 t="s">
        <v>215</v>
      </c>
      <c r="F29" s="7"/>
      <c r="H29" s="4">
        <v>59.91</v>
      </c>
      <c r="I29" s="1">
        <f t="shared" ref="I29:I34" si="6">H29-C29</f>
        <v>59.91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 t="s">
        <v>215</v>
      </c>
      <c r="F30" s="7"/>
      <c r="H30" s="4">
        <v>10</v>
      </c>
      <c r="I30" s="1">
        <f t="shared" si="6"/>
        <v>10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 t="s">
        <v>215</v>
      </c>
      <c r="F31" s="7"/>
      <c r="H31" s="4">
        <v>17</v>
      </c>
      <c r="I31" s="1">
        <f t="shared" si="6"/>
        <v>17</v>
      </c>
    </row>
    <row r="32" spans="2:9" x14ac:dyDescent="0.3">
      <c r="B32" s="20">
        <f t="shared" si="7"/>
        <v>46268</v>
      </c>
      <c r="C32" s="4"/>
      <c r="D32" s="4">
        <v>0</v>
      </c>
      <c r="E32" s="6" t="s">
        <v>215</v>
      </c>
      <c r="F32" s="7"/>
      <c r="H32" s="4">
        <v>1522</v>
      </c>
      <c r="I32" s="1">
        <f t="shared" si="6"/>
        <v>1522</v>
      </c>
    </row>
    <row r="33" spans="1:9" x14ac:dyDescent="0.3">
      <c r="B33" s="20">
        <f t="shared" si="7"/>
        <v>46269</v>
      </c>
      <c r="C33" s="4">
        <v>1500</v>
      </c>
      <c r="D33" s="4">
        <v>1660</v>
      </c>
      <c r="E33" s="6" t="s">
        <v>215</v>
      </c>
      <c r="F33" s="7"/>
      <c r="H33" s="4">
        <v>-185</v>
      </c>
      <c r="I33" s="1">
        <f>H33-C33</f>
        <v>-1685</v>
      </c>
    </row>
    <row r="34" spans="1:9" ht="15" thickBot="1" x14ac:dyDescent="0.35">
      <c r="B34" s="20">
        <f t="shared" si="7"/>
        <v>46270</v>
      </c>
      <c r="C34" s="4">
        <v>0</v>
      </c>
      <c r="D34" s="4"/>
      <c r="E34" s="6" t="s">
        <v>215</v>
      </c>
      <c r="F34" s="7"/>
      <c r="H34" s="4">
        <v>4.59</v>
      </c>
      <c r="I34" s="1">
        <f t="shared" si="6"/>
        <v>4.59</v>
      </c>
    </row>
    <row r="35" spans="1:9" x14ac:dyDescent="0.3">
      <c r="B35" s="19" t="s">
        <v>11</v>
      </c>
      <c r="C35" s="2">
        <f>SUM(C28:C34)</f>
        <v>1500</v>
      </c>
      <c r="D35" s="2">
        <f>SUM(D28:D34)</f>
        <v>1660</v>
      </c>
      <c r="E35" s="6"/>
      <c r="F35" s="7"/>
      <c r="H35" s="2">
        <f t="shared" ref="H35:I35" si="8">SUM(H28:H34)</f>
        <v>-1679.2</v>
      </c>
      <c r="I35" s="2">
        <f t="shared" si="8"/>
        <v>-3179.2</v>
      </c>
    </row>
    <row r="36" spans="1:9" x14ac:dyDescent="0.3">
      <c r="B36" s="19" t="s">
        <v>12</v>
      </c>
      <c r="C36" s="3">
        <f>SUM(C35+C27+C19+C11)</f>
        <v>2995</v>
      </c>
      <c r="D36" s="3">
        <f>SUM(D35+D27+D19+D11)</f>
        <v>4815</v>
      </c>
      <c r="E36" s="6"/>
      <c r="F36" s="7"/>
      <c r="H36" s="3">
        <f t="shared" ref="H36:I36" si="9">SUM(H35+H27+H19+H11)</f>
        <v>-3106.81</v>
      </c>
      <c r="I36" s="3">
        <f t="shared" si="9"/>
        <v>-6101.8099999999995</v>
      </c>
    </row>
    <row r="37" spans="1:9" ht="15" thickBot="1" x14ac:dyDescent="0.35">
      <c r="B37" s="19" t="s">
        <v>13</v>
      </c>
      <c r="C37" s="1">
        <f>D36+C36</f>
        <v>7810</v>
      </c>
      <c r="E37" s="24"/>
      <c r="F37" s="25"/>
      <c r="H37" s="1">
        <f t="shared" ref="H37:I37" si="10">I36+H36</f>
        <v>-9208.619999999999</v>
      </c>
      <c r="I37" s="1">
        <f t="shared" si="10"/>
        <v>-6101.8099999999995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 t="s">
        <v>216</v>
      </c>
      <c r="E39" s="6"/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1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93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94" t="s">
        <v>20</v>
      </c>
      <c r="C48" s="4"/>
      <c r="D48" s="4">
        <v>0</v>
      </c>
      <c r="E48" s="6" t="s">
        <v>215</v>
      </c>
      <c r="F48" s="7"/>
      <c r="H48" s="4">
        <v>14.55</v>
      </c>
      <c r="I48" s="1">
        <f>H48-C48</f>
        <v>14.55</v>
      </c>
    </row>
    <row r="49" spans="1:9" x14ac:dyDescent="0.3">
      <c r="A49" s="41"/>
      <c r="B49" s="94" t="s">
        <v>22</v>
      </c>
      <c r="C49" s="4">
        <v>0</v>
      </c>
      <c r="D49" s="4">
        <v>1630</v>
      </c>
      <c r="E49" s="6" t="s">
        <v>215</v>
      </c>
      <c r="F49" s="7"/>
      <c r="H49" s="4">
        <v>1644</v>
      </c>
      <c r="I49" s="1">
        <f t="shared" ref="I49:I54" si="11">H49-C49</f>
        <v>1644</v>
      </c>
    </row>
    <row r="50" spans="1:9" x14ac:dyDescent="0.3">
      <c r="A50" s="41"/>
      <c r="B50" s="94" t="s">
        <v>23</v>
      </c>
      <c r="C50" s="4">
        <v>0</v>
      </c>
      <c r="D50" s="4">
        <v>0</v>
      </c>
      <c r="E50" s="6" t="s">
        <v>215</v>
      </c>
      <c r="F50" s="7"/>
      <c r="H50" s="4">
        <v>38.549999999999997</v>
      </c>
      <c r="I50" s="1">
        <f t="shared" si="11"/>
        <v>38.549999999999997</v>
      </c>
    </row>
    <row r="51" spans="1:9" x14ac:dyDescent="0.3">
      <c r="A51" s="41"/>
      <c r="B51" s="94" t="s">
        <v>24</v>
      </c>
      <c r="C51" s="4">
        <v>0</v>
      </c>
      <c r="D51" s="4">
        <v>0</v>
      </c>
      <c r="E51" s="6" t="s">
        <v>215</v>
      </c>
      <c r="F51" s="7"/>
      <c r="H51" s="4">
        <v>8.6300000000000008</v>
      </c>
      <c r="I51" s="1">
        <f t="shared" si="11"/>
        <v>8.6300000000000008</v>
      </c>
    </row>
    <row r="52" spans="1:9" x14ac:dyDescent="0.3">
      <c r="A52" s="41"/>
      <c r="B52" s="94" t="s">
        <v>25</v>
      </c>
      <c r="C52" s="4">
        <v>0</v>
      </c>
      <c r="D52" s="4">
        <v>0</v>
      </c>
      <c r="E52" s="6" t="s">
        <v>215</v>
      </c>
      <c r="F52" s="7"/>
      <c r="H52" s="4">
        <v>1.85</v>
      </c>
      <c r="I52" s="1">
        <f t="shared" si="11"/>
        <v>1.85</v>
      </c>
    </row>
    <row r="53" spans="1:9" x14ac:dyDescent="0.3">
      <c r="A53" s="41"/>
      <c r="B53" s="94" t="s">
        <v>26</v>
      </c>
      <c r="C53" s="4">
        <v>0</v>
      </c>
      <c r="D53" s="4">
        <v>0</v>
      </c>
      <c r="E53" s="6" t="s">
        <v>215</v>
      </c>
      <c r="F53" s="7"/>
      <c r="H53" s="4">
        <v>16.079999999999998</v>
      </c>
      <c r="I53" s="1">
        <f t="shared" si="11"/>
        <v>16.079999999999998</v>
      </c>
    </row>
    <row r="54" spans="1:9" x14ac:dyDescent="0.3">
      <c r="A54" s="41"/>
      <c r="B54" s="94" t="s">
        <v>27</v>
      </c>
      <c r="C54" s="4">
        <v>0</v>
      </c>
      <c r="D54" s="4">
        <v>0</v>
      </c>
      <c r="E54" s="6" t="s">
        <v>215</v>
      </c>
      <c r="F54" s="7"/>
      <c r="H54" s="4">
        <v>-1.68</v>
      </c>
      <c r="I54" s="1">
        <f t="shared" si="11"/>
        <v>-1.68</v>
      </c>
    </row>
    <row r="55" spans="1:9" x14ac:dyDescent="0.3">
      <c r="A55" s="41"/>
      <c r="B55" s="94" t="s">
        <v>29</v>
      </c>
      <c r="C55" s="2">
        <f>SUM(C48:C54)</f>
        <v>0</v>
      </c>
      <c r="D55" s="2">
        <f>SUM(D48:D54)</f>
        <v>1630</v>
      </c>
      <c r="E55" s="6"/>
      <c r="F55" s="7"/>
      <c r="H55" s="2">
        <f>SUM(H48:H54)</f>
        <v>1721.9799999999998</v>
      </c>
      <c r="I55" s="2">
        <f>SUM(I48:I54)</f>
        <v>1721.9799999999998</v>
      </c>
    </row>
    <row r="56" spans="1:9" x14ac:dyDescent="0.3">
      <c r="A56" s="41"/>
      <c r="B56" s="94" t="s">
        <v>30</v>
      </c>
      <c r="C56" s="4">
        <v>0</v>
      </c>
      <c r="D56" s="4">
        <v>0</v>
      </c>
      <c r="E56" s="6" t="s">
        <v>215</v>
      </c>
      <c r="F56" s="7"/>
      <c r="H56" s="4">
        <v>3.83</v>
      </c>
      <c r="I56" s="1">
        <f>H56-C56</f>
        <v>3.83</v>
      </c>
    </row>
    <row r="57" spans="1:9" x14ac:dyDescent="0.3">
      <c r="A57" s="41"/>
      <c r="B57" s="94" t="s">
        <v>31</v>
      </c>
      <c r="C57" s="4">
        <v>0</v>
      </c>
      <c r="D57" s="4">
        <v>0</v>
      </c>
      <c r="E57" s="6" t="s">
        <v>215</v>
      </c>
      <c r="F57" s="7"/>
      <c r="H57" s="4">
        <v>6.37</v>
      </c>
      <c r="I57" s="1">
        <f t="shared" ref="I57:I62" si="12">H57-C57</f>
        <v>6.37</v>
      </c>
    </row>
    <row r="58" spans="1:9" x14ac:dyDescent="0.3">
      <c r="A58" s="41"/>
      <c r="B58" s="94" t="s">
        <v>32</v>
      </c>
      <c r="C58" s="4">
        <v>0</v>
      </c>
      <c r="D58" s="4">
        <v>0</v>
      </c>
      <c r="E58" s="6" t="s">
        <v>215</v>
      </c>
      <c r="F58" s="7"/>
      <c r="H58" s="4">
        <v>8.61</v>
      </c>
      <c r="I58" s="1">
        <f t="shared" si="12"/>
        <v>8.61</v>
      </c>
    </row>
    <row r="59" spans="1:9" x14ac:dyDescent="0.3">
      <c r="A59" s="41"/>
      <c r="B59" s="94" t="s">
        <v>34</v>
      </c>
      <c r="C59" s="4">
        <v>1660</v>
      </c>
      <c r="D59" s="4">
        <v>1630</v>
      </c>
      <c r="E59" s="6" t="s">
        <v>215</v>
      </c>
      <c r="F59" s="7"/>
      <c r="H59" s="4">
        <v>1692.66</v>
      </c>
      <c r="I59" s="1">
        <f t="shared" si="12"/>
        <v>32.660000000000082</v>
      </c>
    </row>
    <row r="60" spans="1:9" x14ac:dyDescent="0.3">
      <c r="A60" s="41"/>
      <c r="B60" s="94" t="s">
        <v>35</v>
      </c>
      <c r="C60" s="4">
        <v>0</v>
      </c>
      <c r="D60" s="4">
        <v>0</v>
      </c>
      <c r="E60" s="6" t="s">
        <v>217</v>
      </c>
      <c r="F60" s="7"/>
      <c r="H60" s="4">
        <v>10.37</v>
      </c>
      <c r="I60" s="1">
        <f t="shared" si="12"/>
        <v>10.37</v>
      </c>
    </row>
    <row r="61" spans="1:9" x14ac:dyDescent="0.3">
      <c r="A61" s="41"/>
      <c r="B61" s="94" t="s">
        <v>36</v>
      </c>
      <c r="C61" s="4">
        <v>0</v>
      </c>
      <c r="D61" s="4">
        <v>0</v>
      </c>
      <c r="E61" s="6" t="s">
        <v>215</v>
      </c>
      <c r="F61" s="7"/>
      <c r="H61" s="4">
        <v>18.73</v>
      </c>
      <c r="I61" s="1">
        <f t="shared" si="12"/>
        <v>18.73</v>
      </c>
    </row>
    <row r="62" spans="1:9" x14ac:dyDescent="0.3">
      <c r="A62" s="41"/>
      <c r="B62" s="94" t="s">
        <v>37</v>
      </c>
      <c r="C62" s="4">
        <v>0</v>
      </c>
      <c r="D62" s="4">
        <v>1595</v>
      </c>
      <c r="E62" s="6" t="s">
        <v>215</v>
      </c>
      <c r="F62" s="7"/>
      <c r="H62" s="4">
        <v>-1.1000000000000001</v>
      </c>
      <c r="I62" s="1">
        <f t="shared" si="12"/>
        <v>-1.1000000000000001</v>
      </c>
    </row>
    <row r="63" spans="1:9" x14ac:dyDescent="0.3">
      <c r="A63" s="41"/>
      <c r="B63" s="94" t="s">
        <v>29</v>
      </c>
      <c r="C63" s="2">
        <f>SUM(C56:C62)</f>
        <v>1660</v>
      </c>
      <c r="D63" s="2">
        <f>SUM(D56:D62)</f>
        <v>3225</v>
      </c>
      <c r="E63" s="6" t="s">
        <v>215</v>
      </c>
      <c r="F63" s="7"/>
      <c r="H63" s="2">
        <f>SUM(H56:H62)</f>
        <v>1739.47</v>
      </c>
      <c r="I63" s="2">
        <f>SUM(I56:I62)</f>
        <v>79.470000000000084</v>
      </c>
    </row>
    <row r="64" spans="1:9" x14ac:dyDescent="0.3">
      <c r="A64" s="41"/>
      <c r="B64" s="94" t="s">
        <v>38</v>
      </c>
      <c r="C64" s="4"/>
      <c r="D64" s="4">
        <v>0</v>
      </c>
      <c r="E64" s="6" t="s">
        <v>217</v>
      </c>
      <c r="F64" s="7"/>
      <c r="H64" s="4">
        <v>35</v>
      </c>
      <c r="I64" s="1">
        <f>H64-C64</f>
        <v>35</v>
      </c>
    </row>
    <row r="65" spans="1:9" x14ac:dyDescent="0.3">
      <c r="A65" s="41"/>
      <c r="B65" s="94" t="s">
        <v>39</v>
      </c>
      <c r="C65" s="4">
        <v>0</v>
      </c>
      <c r="D65" s="4">
        <v>0</v>
      </c>
      <c r="E65" s="6" t="s">
        <v>218</v>
      </c>
      <c r="F65" s="7"/>
      <c r="H65" s="4">
        <v>-2</v>
      </c>
      <c r="I65" s="1">
        <f t="shared" ref="I65:I70" si="13">H65-C65</f>
        <v>-2</v>
      </c>
    </row>
    <row r="66" spans="1:9" x14ac:dyDescent="0.3">
      <c r="A66" s="41"/>
      <c r="B66" s="94" t="s">
        <v>40</v>
      </c>
      <c r="C66" s="4">
        <v>0</v>
      </c>
      <c r="D66" s="4">
        <v>0</v>
      </c>
      <c r="E66" s="6" t="s">
        <v>217</v>
      </c>
      <c r="F66" s="7"/>
      <c r="H66" s="4">
        <v>-2</v>
      </c>
      <c r="I66" s="1">
        <f t="shared" si="13"/>
        <v>-2</v>
      </c>
    </row>
    <row r="67" spans="1:9" x14ac:dyDescent="0.3">
      <c r="A67" s="41"/>
      <c r="B67" s="94" t="s">
        <v>41</v>
      </c>
      <c r="C67" s="4">
        <v>0</v>
      </c>
      <c r="D67" s="4">
        <v>1595</v>
      </c>
      <c r="E67" s="6" t="s">
        <v>215</v>
      </c>
      <c r="F67" s="7"/>
      <c r="H67" s="4">
        <v>23.25</v>
      </c>
      <c r="I67" s="1">
        <f t="shared" si="13"/>
        <v>23.25</v>
      </c>
    </row>
    <row r="68" spans="1:9" x14ac:dyDescent="0.3">
      <c r="A68" s="41"/>
      <c r="B68" s="94" t="s">
        <v>42</v>
      </c>
      <c r="C68" s="4">
        <v>0</v>
      </c>
      <c r="D68" s="4">
        <v>0</v>
      </c>
      <c r="E68" s="6" t="s">
        <v>217</v>
      </c>
      <c r="F68" s="7"/>
      <c r="H68" s="4">
        <v>-3.8</v>
      </c>
      <c r="I68" s="1">
        <f t="shared" si="13"/>
        <v>-3.8</v>
      </c>
    </row>
    <row r="69" spans="1:9" x14ac:dyDescent="0.3">
      <c r="A69" s="41"/>
      <c r="B69" s="94" t="s">
        <v>44</v>
      </c>
      <c r="C69" s="4">
        <v>0</v>
      </c>
      <c r="D69" s="4">
        <v>0</v>
      </c>
      <c r="E69" s="6" t="s">
        <v>215</v>
      </c>
      <c r="F69" s="7"/>
      <c r="H69" s="4">
        <v>97.6</v>
      </c>
      <c r="I69" s="1">
        <f t="shared" si="13"/>
        <v>97.6</v>
      </c>
    </row>
    <row r="70" spans="1:9" x14ac:dyDescent="0.3">
      <c r="A70" s="41"/>
      <c r="B70" s="94" t="s">
        <v>45</v>
      </c>
      <c r="C70" s="4">
        <v>1630</v>
      </c>
      <c r="D70" s="4">
        <v>0</v>
      </c>
      <c r="E70" s="6" t="s">
        <v>215</v>
      </c>
      <c r="F70" s="7"/>
      <c r="H70" s="4">
        <v>1554.39</v>
      </c>
      <c r="I70" s="1">
        <f t="shared" si="13"/>
        <v>-75.6099999999999</v>
      </c>
    </row>
    <row r="71" spans="1:9" x14ac:dyDescent="0.3">
      <c r="A71" s="41"/>
      <c r="B71" s="94" t="s">
        <v>29</v>
      </c>
      <c r="C71" s="2">
        <f>SUM(C64:C70)</f>
        <v>1630</v>
      </c>
      <c r="D71" s="2">
        <f>SUM(D64:D70)</f>
        <v>1595</v>
      </c>
      <c r="E71" s="6"/>
      <c r="F71" s="7"/>
      <c r="H71" s="2">
        <f>SUM(H64:H70)</f>
        <v>1702.44</v>
      </c>
      <c r="I71" s="2">
        <f>SUM(I64:I70)</f>
        <v>72.440000000000111</v>
      </c>
    </row>
    <row r="72" spans="1:9" x14ac:dyDescent="0.3">
      <c r="A72" s="41"/>
      <c r="B72" s="94" t="s">
        <v>46</v>
      </c>
      <c r="C72" s="4">
        <v>0</v>
      </c>
      <c r="D72" s="4">
        <v>0</v>
      </c>
      <c r="E72" s="6" t="s">
        <v>218</v>
      </c>
      <c r="F72" s="7"/>
      <c r="H72" s="4">
        <v>23</v>
      </c>
      <c r="I72" s="1">
        <f>H72-C72</f>
        <v>23</v>
      </c>
    </row>
    <row r="73" spans="1:9" x14ac:dyDescent="0.3">
      <c r="A73" s="41"/>
      <c r="B73" s="94" t="s">
        <v>47</v>
      </c>
      <c r="C73" s="4">
        <v>0</v>
      </c>
      <c r="D73" s="4">
        <v>0</v>
      </c>
      <c r="E73" s="6" t="s">
        <v>217</v>
      </c>
      <c r="F73" s="7"/>
      <c r="H73" s="4">
        <v>-3.42</v>
      </c>
      <c r="I73" s="1">
        <f t="shared" ref="I73:I78" si="14">H73-C73</f>
        <v>-3.42</v>
      </c>
    </row>
    <row r="74" spans="1:9" x14ac:dyDescent="0.3">
      <c r="A74" s="41"/>
      <c r="B74" s="94" t="s">
        <v>48</v>
      </c>
      <c r="C74" s="4">
        <v>0</v>
      </c>
      <c r="D74" s="4">
        <v>0</v>
      </c>
      <c r="E74" s="6" t="s">
        <v>217</v>
      </c>
      <c r="F74" s="7"/>
      <c r="H74" s="4">
        <v>7.18</v>
      </c>
      <c r="I74" s="1">
        <f t="shared" si="14"/>
        <v>7.18</v>
      </c>
    </row>
    <row r="75" spans="1:9" x14ac:dyDescent="0.3">
      <c r="A75" s="41"/>
      <c r="B75" s="94" t="s">
        <v>50</v>
      </c>
      <c r="C75" s="4">
        <v>0</v>
      </c>
      <c r="D75" s="4">
        <v>0</v>
      </c>
      <c r="E75" s="6" t="s">
        <v>218</v>
      </c>
      <c r="F75" s="7"/>
      <c r="H75" s="4">
        <v>-8.24</v>
      </c>
      <c r="I75" s="1">
        <f t="shared" si="14"/>
        <v>-8.24</v>
      </c>
    </row>
    <row r="76" spans="1:9" x14ac:dyDescent="0.3">
      <c r="A76" s="41"/>
      <c r="B76" s="94" t="s">
        <v>51</v>
      </c>
      <c r="C76" s="4">
        <v>0</v>
      </c>
      <c r="D76" s="4">
        <v>0</v>
      </c>
      <c r="E76" s="6" t="s">
        <v>215</v>
      </c>
      <c r="F76" s="7"/>
      <c r="H76" s="4">
        <v>11.81</v>
      </c>
      <c r="I76" s="1">
        <f t="shared" si="14"/>
        <v>11.81</v>
      </c>
    </row>
    <row r="77" spans="1:9" x14ac:dyDescent="0.3">
      <c r="A77" s="41"/>
      <c r="B77" s="94" t="s">
        <v>52</v>
      </c>
      <c r="C77" s="4">
        <v>0</v>
      </c>
      <c r="D77" s="4">
        <v>0</v>
      </c>
      <c r="E77" s="6" t="s">
        <v>215</v>
      </c>
      <c r="F77" s="7"/>
      <c r="H77" s="4">
        <v>7</v>
      </c>
      <c r="I77" s="1">
        <f t="shared" si="14"/>
        <v>7</v>
      </c>
    </row>
    <row r="78" spans="1:9" x14ac:dyDescent="0.3">
      <c r="A78" s="41"/>
      <c r="B78" s="94" t="s">
        <v>54</v>
      </c>
      <c r="C78" s="4"/>
      <c r="D78" s="4">
        <v>0</v>
      </c>
      <c r="E78" s="6" t="s">
        <v>215</v>
      </c>
      <c r="F78" s="7"/>
      <c r="H78" s="4">
        <v>-32</v>
      </c>
      <c r="I78" s="1">
        <f t="shared" si="14"/>
        <v>-32</v>
      </c>
    </row>
    <row r="79" spans="1:9" x14ac:dyDescent="0.3">
      <c r="A79" s="41"/>
      <c r="B79" s="94" t="s">
        <v>11</v>
      </c>
      <c r="C79" s="2">
        <f>SUM(C72:C78)</f>
        <v>0</v>
      </c>
      <c r="D79" s="2">
        <f>SUM(D72:D78)</f>
        <v>0</v>
      </c>
      <c r="E79" s="6"/>
      <c r="F79" s="7"/>
      <c r="H79" s="2">
        <f t="shared" ref="H79:I79" si="15">SUM(H72:H78)</f>
        <v>5.3299999999999983</v>
      </c>
      <c r="I79" s="2">
        <f t="shared" si="15"/>
        <v>5.3299999999999983</v>
      </c>
    </row>
    <row r="80" spans="1:9" x14ac:dyDescent="0.3">
      <c r="A80" s="41"/>
      <c r="B80" s="94" t="s">
        <v>12</v>
      </c>
      <c r="C80" s="3">
        <f>SUM(C79+C71+C63+C55)</f>
        <v>3290</v>
      </c>
      <c r="D80" s="3">
        <f>SUM(D79+D71+D63+D55)</f>
        <v>6450</v>
      </c>
      <c r="E80" s="6"/>
      <c r="F80" s="7"/>
      <c r="H80" s="3">
        <f t="shared" ref="H80:I80" si="16">SUM(H79+H71+H63+H55)</f>
        <v>5169.2199999999993</v>
      </c>
      <c r="I80" s="3">
        <f t="shared" si="16"/>
        <v>1879.22</v>
      </c>
    </row>
    <row r="81" spans="1:9" x14ac:dyDescent="0.3">
      <c r="A81" s="41"/>
      <c r="B81" s="94" t="s">
        <v>13</v>
      </c>
      <c r="C81" s="1">
        <f>D80+C80</f>
        <v>9740</v>
      </c>
      <c r="E81" s="24"/>
      <c r="F81" s="25"/>
      <c r="H81" s="1">
        <f t="shared" ref="H81:I81" si="17">I80+H80</f>
        <v>7048.44</v>
      </c>
      <c r="I81" s="1">
        <f t="shared" si="17"/>
        <v>1879.22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15</v>
      </c>
      <c r="C83" s="49">
        <v>1595</v>
      </c>
      <c r="D83" s="41"/>
      <c r="E83" s="43" t="s">
        <v>215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1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93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94" t="s">
        <v>56</v>
      </c>
      <c r="C92" s="4">
        <v>0</v>
      </c>
      <c r="D92" s="4">
        <v>0</v>
      </c>
      <c r="E92" s="6" t="s">
        <v>218</v>
      </c>
      <c r="F92" s="7"/>
      <c r="H92" s="4">
        <v>19</v>
      </c>
      <c r="I92" s="1">
        <f>H92-C92</f>
        <v>19</v>
      </c>
    </row>
    <row r="93" spans="1:9" x14ac:dyDescent="0.3">
      <c r="A93" s="41"/>
      <c r="B93" s="94" t="s">
        <v>60</v>
      </c>
      <c r="C93" s="4">
        <v>0</v>
      </c>
      <c r="D93" s="4">
        <v>0</v>
      </c>
      <c r="E93" s="6" t="s">
        <v>218</v>
      </c>
      <c r="F93" s="7"/>
      <c r="H93" s="4">
        <v>12</v>
      </c>
      <c r="I93" s="1">
        <f t="shared" ref="I93:I98" si="18">H93-C93</f>
        <v>12</v>
      </c>
    </row>
    <row r="94" spans="1:9" x14ac:dyDescent="0.3">
      <c r="A94" s="41"/>
      <c r="B94" s="94" t="s">
        <v>61</v>
      </c>
      <c r="C94" s="4">
        <v>0</v>
      </c>
      <c r="D94" s="4">
        <v>0</v>
      </c>
      <c r="E94" s="6" t="s">
        <v>218</v>
      </c>
      <c r="F94" s="7"/>
      <c r="H94" s="4">
        <v>-8</v>
      </c>
      <c r="I94" s="1">
        <f t="shared" si="18"/>
        <v>-8</v>
      </c>
    </row>
    <row r="95" spans="1:9" x14ac:dyDescent="0.3">
      <c r="A95" s="41"/>
      <c r="B95" s="94" t="s">
        <v>63</v>
      </c>
      <c r="C95" s="4">
        <v>1595</v>
      </c>
      <c r="D95" s="4">
        <v>1525</v>
      </c>
      <c r="E95" s="6" t="s">
        <v>215</v>
      </c>
      <c r="F95" s="7" t="s">
        <v>219</v>
      </c>
      <c r="H95" s="4">
        <v>1604</v>
      </c>
      <c r="I95" s="1">
        <f t="shared" si="18"/>
        <v>9</v>
      </c>
    </row>
    <row r="96" spans="1:9" x14ac:dyDescent="0.3">
      <c r="A96" s="41"/>
      <c r="B96" s="94" t="s">
        <v>64</v>
      </c>
      <c r="C96" s="4">
        <v>0</v>
      </c>
      <c r="D96" s="4">
        <v>0</v>
      </c>
      <c r="E96" s="6" t="s">
        <v>218</v>
      </c>
      <c r="F96" s="7"/>
      <c r="H96" s="4">
        <v>-24</v>
      </c>
      <c r="I96" s="1">
        <f t="shared" si="18"/>
        <v>-24</v>
      </c>
    </row>
    <row r="97" spans="1:9" x14ac:dyDescent="0.3">
      <c r="A97" s="41"/>
      <c r="B97" s="94" t="s">
        <v>65</v>
      </c>
      <c r="C97" s="4">
        <v>0</v>
      </c>
      <c r="D97" s="4">
        <v>0</v>
      </c>
      <c r="E97" s="6"/>
      <c r="F97" s="7"/>
      <c r="H97" s="4">
        <v>-14</v>
      </c>
      <c r="I97" s="1">
        <f t="shared" si="18"/>
        <v>-14</v>
      </c>
    </row>
    <row r="98" spans="1:9" x14ac:dyDescent="0.3">
      <c r="A98" s="41"/>
      <c r="B98" s="94" t="s">
        <v>66</v>
      </c>
      <c r="C98" s="4">
        <v>0</v>
      </c>
      <c r="D98" s="4">
        <v>0</v>
      </c>
      <c r="E98" s="6"/>
      <c r="F98" s="7"/>
      <c r="H98" s="4">
        <v>-2</v>
      </c>
      <c r="I98" s="1">
        <f t="shared" si="18"/>
        <v>-2</v>
      </c>
    </row>
    <row r="99" spans="1:9" x14ac:dyDescent="0.3">
      <c r="A99" s="41"/>
      <c r="B99" s="94" t="s">
        <v>29</v>
      </c>
      <c r="C99" s="2">
        <f>SUM(C92:C98)</f>
        <v>1595</v>
      </c>
      <c r="D99" s="2">
        <f>SUM(D92:D98)</f>
        <v>1525</v>
      </c>
      <c r="E99" s="6"/>
      <c r="F99" s="7"/>
      <c r="H99" s="2">
        <f>SUM(H92:H98)</f>
        <v>1587</v>
      </c>
      <c r="I99" s="2">
        <f>SUM(I92:I98)</f>
        <v>-8</v>
      </c>
    </row>
    <row r="100" spans="1:9" x14ac:dyDescent="0.3">
      <c r="A100" s="41"/>
      <c r="B100" s="94" t="s">
        <v>67</v>
      </c>
      <c r="C100" s="4">
        <v>0</v>
      </c>
      <c r="D100" s="4">
        <v>0</v>
      </c>
      <c r="E100" s="6"/>
      <c r="F100" s="7"/>
      <c r="H100" s="4">
        <v>0</v>
      </c>
      <c r="I100" s="1"/>
    </row>
    <row r="101" spans="1:9" x14ac:dyDescent="0.3">
      <c r="A101" s="41"/>
      <c r="B101" s="94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19">H101-C101</f>
        <v>0</v>
      </c>
    </row>
    <row r="102" spans="1:9" x14ac:dyDescent="0.3">
      <c r="A102" s="41"/>
      <c r="B102" s="94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19"/>
        <v>0</v>
      </c>
    </row>
    <row r="103" spans="1:9" x14ac:dyDescent="0.3">
      <c r="A103" s="41"/>
      <c r="B103" s="94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19"/>
        <v>0</v>
      </c>
    </row>
    <row r="104" spans="1:9" x14ac:dyDescent="0.3">
      <c r="A104" s="41"/>
      <c r="B104" s="94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9"/>
        <v>0</v>
      </c>
    </row>
    <row r="105" spans="1:9" x14ac:dyDescent="0.3">
      <c r="A105" s="41"/>
      <c r="B105" s="94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9"/>
        <v>0</v>
      </c>
    </row>
    <row r="106" spans="1:9" x14ac:dyDescent="0.3">
      <c r="A106" s="41"/>
      <c r="B106" s="94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9"/>
        <v>0</v>
      </c>
    </row>
    <row r="107" spans="1:9" x14ac:dyDescent="0.3">
      <c r="A107" s="41"/>
      <c r="B107" s="94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0</v>
      </c>
      <c r="I107" s="2">
        <f>SUM(I100:I106)</f>
        <v>0</v>
      </c>
    </row>
    <row r="108" spans="1:9" x14ac:dyDescent="0.3">
      <c r="A108" s="41"/>
      <c r="B108" s="94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94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0">H109-C109</f>
        <v>0</v>
      </c>
    </row>
    <row r="110" spans="1:9" x14ac:dyDescent="0.3">
      <c r="A110" s="41"/>
      <c r="B110" s="94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0"/>
        <v>0</v>
      </c>
    </row>
    <row r="111" spans="1:9" x14ac:dyDescent="0.3">
      <c r="A111" s="41"/>
      <c r="B111" s="94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0"/>
        <v>0</v>
      </c>
    </row>
    <row r="112" spans="1:9" x14ac:dyDescent="0.3">
      <c r="A112" s="41"/>
      <c r="B112" s="94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0"/>
        <v>0</v>
      </c>
    </row>
    <row r="113" spans="1:9" x14ac:dyDescent="0.3">
      <c r="A113" s="41"/>
      <c r="B113" s="94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0"/>
        <v>0</v>
      </c>
    </row>
    <row r="114" spans="1:9" x14ac:dyDescent="0.3">
      <c r="A114" s="41"/>
      <c r="B114" s="94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0"/>
        <v>0</v>
      </c>
    </row>
    <row r="115" spans="1:9" x14ac:dyDescent="0.3">
      <c r="A115" s="41"/>
      <c r="B115" s="94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94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94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1">H117-C117</f>
        <v>0</v>
      </c>
    </row>
    <row r="118" spans="1:9" x14ac:dyDescent="0.3">
      <c r="A118" s="41"/>
      <c r="B118" s="94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1"/>
        <v>0</v>
      </c>
    </row>
    <row r="119" spans="1:9" x14ac:dyDescent="0.3">
      <c r="A119" s="41"/>
      <c r="B119" s="94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1"/>
        <v>0</v>
      </c>
    </row>
    <row r="120" spans="1:9" x14ac:dyDescent="0.3">
      <c r="A120" s="41"/>
      <c r="B120" s="94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1"/>
        <v>0</v>
      </c>
    </row>
    <row r="121" spans="1:9" x14ac:dyDescent="0.3">
      <c r="A121" s="41"/>
      <c r="B121" s="94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1"/>
        <v>0</v>
      </c>
    </row>
    <row r="122" spans="1:9" x14ac:dyDescent="0.3">
      <c r="A122" s="41"/>
      <c r="B122" s="94" t="s">
        <v>87</v>
      </c>
      <c r="C122" s="4"/>
      <c r="D122" s="4">
        <v>0</v>
      </c>
      <c r="E122" s="6"/>
      <c r="F122" s="7"/>
      <c r="H122" s="4">
        <v>0</v>
      </c>
      <c r="I122" s="1">
        <f t="shared" si="21"/>
        <v>0</v>
      </c>
    </row>
    <row r="123" spans="1:9" x14ac:dyDescent="0.3">
      <c r="A123" s="41"/>
      <c r="B123" s="94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2">SUM(H116:H122)</f>
        <v>0</v>
      </c>
      <c r="I123" s="2">
        <f t="shared" si="22"/>
        <v>0</v>
      </c>
    </row>
    <row r="124" spans="1:9" x14ac:dyDescent="0.3">
      <c r="A124" s="41"/>
      <c r="B124" s="94" t="s">
        <v>12</v>
      </c>
      <c r="C124" s="3">
        <f>SUM(C123+C115+C107+C99)</f>
        <v>1595</v>
      </c>
      <c r="D124" s="3">
        <f>SUM(D123+D115+D107+D99)</f>
        <v>1525</v>
      </c>
      <c r="E124" s="6"/>
      <c r="F124" s="7"/>
      <c r="H124" s="3">
        <f t="shared" ref="H124:I124" si="23">SUM(H123+H115+H107+H99)</f>
        <v>1587</v>
      </c>
      <c r="I124" s="3">
        <f t="shared" si="23"/>
        <v>-8</v>
      </c>
    </row>
    <row r="125" spans="1:9" x14ac:dyDescent="0.3">
      <c r="A125" s="41"/>
      <c r="B125" s="94" t="s">
        <v>13</v>
      </c>
      <c r="C125" s="1">
        <f>D124+C124</f>
        <v>3120</v>
      </c>
      <c r="E125" s="24"/>
      <c r="F125" s="25"/>
      <c r="H125" s="1">
        <f t="shared" ref="H125:I125" si="24">I124+H124</f>
        <v>1579</v>
      </c>
      <c r="I125" s="1">
        <f t="shared" si="24"/>
        <v>-8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15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93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94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94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5">H137-C137</f>
        <v>0</v>
      </c>
    </row>
    <row r="138" spans="1:9" x14ac:dyDescent="0.3">
      <c r="A138" s="41"/>
      <c r="B138" s="94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5"/>
        <v>0</v>
      </c>
    </row>
    <row r="139" spans="1:9" x14ac:dyDescent="0.3">
      <c r="A139" s="41"/>
      <c r="B139" s="94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5"/>
        <v>0</v>
      </c>
    </row>
    <row r="140" spans="1:9" x14ac:dyDescent="0.3">
      <c r="A140" s="41"/>
      <c r="B140" s="94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5"/>
        <v>0</v>
      </c>
    </row>
    <row r="141" spans="1:9" x14ac:dyDescent="0.3">
      <c r="A141" s="41"/>
      <c r="B141" s="94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5"/>
        <v>0</v>
      </c>
    </row>
    <row r="142" spans="1:9" x14ac:dyDescent="0.3">
      <c r="A142" s="41"/>
      <c r="B142" s="94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5"/>
        <v>0</v>
      </c>
    </row>
    <row r="143" spans="1:9" x14ac:dyDescent="0.3">
      <c r="A143" s="41"/>
      <c r="B143" s="94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94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94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6">H145-C145</f>
        <v>0</v>
      </c>
    </row>
    <row r="146" spans="1:9" x14ac:dyDescent="0.3">
      <c r="A146" s="41"/>
      <c r="B146" s="94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6"/>
        <v>0</v>
      </c>
    </row>
    <row r="147" spans="1:9" x14ac:dyDescent="0.3">
      <c r="A147" s="41"/>
      <c r="B147" s="94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6"/>
        <v>0</v>
      </c>
    </row>
    <row r="148" spans="1:9" x14ac:dyDescent="0.3">
      <c r="A148" s="41"/>
      <c r="B148" s="94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6"/>
        <v>0</v>
      </c>
    </row>
    <row r="149" spans="1:9" x14ac:dyDescent="0.3">
      <c r="A149" s="41"/>
      <c r="B149" s="94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6"/>
        <v>0</v>
      </c>
    </row>
    <row r="150" spans="1:9" x14ac:dyDescent="0.3">
      <c r="A150" s="41"/>
      <c r="B150" s="94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6"/>
        <v>0</v>
      </c>
    </row>
    <row r="151" spans="1:9" x14ac:dyDescent="0.3">
      <c r="A151" s="41"/>
      <c r="B151" s="94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94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94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7">H153-C153</f>
        <v>0</v>
      </c>
    </row>
    <row r="154" spans="1:9" x14ac:dyDescent="0.3">
      <c r="A154" s="41"/>
      <c r="B154" s="94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7"/>
        <v>0</v>
      </c>
    </row>
    <row r="155" spans="1:9" x14ac:dyDescent="0.3">
      <c r="A155" s="41"/>
      <c r="B155" s="94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7"/>
        <v>0</v>
      </c>
    </row>
    <row r="156" spans="1:9" x14ac:dyDescent="0.3">
      <c r="A156" s="41"/>
      <c r="B156" s="94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7"/>
        <v>0</v>
      </c>
    </row>
    <row r="157" spans="1:9" x14ac:dyDescent="0.3">
      <c r="A157" s="41"/>
      <c r="B157" s="94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7"/>
        <v>0</v>
      </c>
    </row>
    <row r="158" spans="1:9" x14ac:dyDescent="0.3">
      <c r="A158" s="41"/>
      <c r="B158" s="94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7"/>
        <v>0</v>
      </c>
    </row>
    <row r="159" spans="1:9" x14ac:dyDescent="0.3">
      <c r="A159" s="41"/>
      <c r="B159" s="94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94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94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8">H161-C161</f>
        <v>0</v>
      </c>
    </row>
    <row r="162" spans="1:9" x14ac:dyDescent="0.3">
      <c r="A162" s="41"/>
      <c r="B162" s="94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8"/>
        <v>0</v>
      </c>
    </row>
    <row r="163" spans="1:9" x14ac:dyDescent="0.3">
      <c r="A163" s="41"/>
      <c r="B163" s="94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8"/>
        <v>0</v>
      </c>
    </row>
    <row r="164" spans="1:9" x14ac:dyDescent="0.3">
      <c r="A164" s="41"/>
      <c r="B164" s="94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8"/>
        <v>0</v>
      </c>
    </row>
    <row r="165" spans="1:9" x14ac:dyDescent="0.3">
      <c r="A165" s="41"/>
      <c r="B165" s="94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8"/>
        <v>0</v>
      </c>
    </row>
    <row r="166" spans="1:9" x14ac:dyDescent="0.3">
      <c r="A166" s="41"/>
      <c r="B166" s="94" t="s">
        <v>116</v>
      </c>
      <c r="C166" s="4"/>
      <c r="D166" s="4">
        <v>0</v>
      </c>
      <c r="E166" s="6"/>
      <c r="F166" s="7"/>
      <c r="H166" s="4">
        <v>0</v>
      </c>
      <c r="I166" s="1">
        <f t="shared" si="28"/>
        <v>0</v>
      </c>
    </row>
    <row r="167" spans="1:9" x14ac:dyDescent="0.3">
      <c r="A167" s="41"/>
      <c r="B167" s="94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9">SUM(H160:H166)</f>
        <v>0</v>
      </c>
      <c r="I167" s="2">
        <f t="shared" si="29"/>
        <v>0</v>
      </c>
    </row>
    <row r="168" spans="1:9" x14ac:dyDescent="0.3">
      <c r="A168" s="41"/>
      <c r="B168" s="94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0">SUM(H167+H159+H151+H143)</f>
        <v>0</v>
      </c>
      <c r="I168" s="3">
        <f t="shared" si="30"/>
        <v>0</v>
      </c>
    </row>
    <row r="169" spans="1:9" x14ac:dyDescent="0.3">
      <c r="A169" s="41"/>
      <c r="B169" s="94" t="s">
        <v>13</v>
      </c>
      <c r="C169" s="1">
        <f>D168+C168</f>
        <v>0</v>
      </c>
      <c r="E169" s="24"/>
      <c r="F169" s="25"/>
      <c r="H169" s="1">
        <f t="shared" ref="H169:I169" si="31">I168+H168</f>
        <v>0</v>
      </c>
      <c r="I169" s="1">
        <f t="shared" si="31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2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2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2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2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2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2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3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3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3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3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3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3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4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4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4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4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4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4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5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5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5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5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5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5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6">SUM(H204:H210)</f>
        <v>0</v>
      </c>
      <c r="I211" s="2">
        <f t="shared" si="36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7">SUM(H211+H203+H195+H187)</f>
        <v>0</v>
      </c>
      <c r="I212" s="3">
        <f t="shared" si="37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8">I212+H212</f>
        <v>0</v>
      </c>
      <c r="I213" s="1">
        <f t="shared" si="38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406945-8697-4742-9F77-F9FC1491EC08}">
  <sheetPr codeName="Sheet8"/>
  <dimension ref="A1:I222"/>
  <sheetViews>
    <sheetView showGridLines="0" workbookViewId="0">
      <pane xSplit="2" ySplit="3" topLeftCell="C87" activePane="bottomRight" state="frozen"/>
      <selection pane="topRight" activeCell="C1" sqref="C1"/>
      <selection pane="bottomLeft" activeCell="A4" sqref="A4"/>
      <selection pane="bottomRight" activeCell="F62" sqref="F62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220</v>
      </c>
      <c r="D1" s="14"/>
    </row>
    <row r="2" spans="2:9" x14ac:dyDescent="0.3">
      <c r="C2" s="5" t="s">
        <v>1</v>
      </c>
      <c r="D2" s="5"/>
    </row>
    <row r="3" spans="2:9" ht="86.4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 t="s">
        <v>221</v>
      </c>
      <c r="F4" s="7"/>
      <c r="H4" s="4">
        <v>-111</v>
      </c>
      <c r="I4" s="1">
        <f>H4-C4</f>
        <v>-111</v>
      </c>
    </row>
    <row r="5" spans="2:9" x14ac:dyDescent="0.3">
      <c r="B5" s="20">
        <f>B4+1</f>
        <v>46244</v>
      </c>
      <c r="C5" s="4">
        <v>0</v>
      </c>
      <c r="D5" s="4">
        <v>0</v>
      </c>
      <c r="E5" s="6" t="s">
        <v>221</v>
      </c>
      <c r="F5" s="7"/>
      <c r="H5" s="4">
        <v>-7</v>
      </c>
      <c r="I5" s="1">
        <f t="shared" ref="I5:I10" si="0">H5-C5</f>
        <v>-7</v>
      </c>
    </row>
    <row r="6" spans="2:9" x14ac:dyDescent="0.3">
      <c r="B6" s="20">
        <f t="shared" ref="B6:B10" si="1">B5+1</f>
        <v>46245</v>
      </c>
      <c r="C6" s="4"/>
      <c r="D6" s="4">
        <v>1000</v>
      </c>
      <c r="E6" s="6" t="s">
        <v>221</v>
      </c>
      <c r="F6" s="7"/>
      <c r="H6" s="4">
        <v>43</v>
      </c>
      <c r="I6" s="1">
        <f t="shared" si="0"/>
        <v>43</v>
      </c>
    </row>
    <row r="7" spans="2:9" x14ac:dyDescent="0.3">
      <c r="B7" s="20">
        <f t="shared" si="1"/>
        <v>46246</v>
      </c>
      <c r="C7" s="4">
        <v>-500</v>
      </c>
      <c r="D7" s="4"/>
      <c r="E7" s="6" t="s">
        <v>221</v>
      </c>
      <c r="F7" s="7"/>
      <c r="H7" s="4">
        <v>6</v>
      </c>
      <c r="I7" s="1">
        <f t="shared" si="0"/>
        <v>506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 t="s">
        <v>221</v>
      </c>
      <c r="F8" s="7"/>
      <c r="H8" s="4">
        <v>-9</v>
      </c>
      <c r="I8" s="1">
        <f t="shared" si="0"/>
        <v>-9</v>
      </c>
    </row>
    <row r="9" spans="2:9" x14ac:dyDescent="0.3">
      <c r="B9" s="20">
        <f t="shared" si="1"/>
        <v>46248</v>
      </c>
      <c r="C9" s="4"/>
      <c r="D9" s="4">
        <v>980</v>
      </c>
      <c r="E9" s="6" t="s">
        <v>221</v>
      </c>
      <c r="F9" s="7"/>
      <c r="H9" s="4">
        <v>-1001</v>
      </c>
      <c r="I9" s="1">
        <f t="shared" si="0"/>
        <v>-1001</v>
      </c>
    </row>
    <row r="10" spans="2:9" ht="15" thickBot="1" x14ac:dyDescent="0.35">
      <c r="B10" s="20">
        <f t="shared" si="1"/>
        <v>46249</v>
      </c>
      <c r="C10" s="4">
        <v>-500</v>
      </c>
      <c r="D10" s="4">
        <v>500</v>
      </c>
      <c r="E10" s="6" t="s">
        <v>221</v>
      </c>
      <c r="F10" s="7"/>
      <c r="H10" s="4">
        <v>941</v>
      </c>
      <c r="I10" s="1">
        <f t="shared" si="0"/>
        <v>1441</v>
      </c>
    </row>
    <row r="11" spans="2:9" x14ac:dyDescent="0.3">
      <c r="B11" s="21" t="s">
        <v>11</v>
      </c>
      <c r="C11" s="2">
        <f>SUM(C4:C10)</f>
        <v>-1000</v>
      </c>
      <c r="D11" s="2">
        <f>SUM(D4:D10)</f>
        <v>2480</v>
      </c>
      <c r="E11" s="6" t="s">
        <v>221</v>
      </c>
      <c r="F11" s="7"/>
      <c r="H11" s="2">
        <f>SUM(H4:H10)</f>
        <v>-138</v>
      </c>
      <c r="I11" s="2">
        <f>SUM(I4:I10)</f>
        <v>862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 t="s">
        <v>221</v>
      </c>
      <c r="F12" s="7"/>
      <c r="H12" s="4">
        <v>2</v>
      </c>
      <c r="I12" s="1">
        <f>H12-C12</f>
        <v>2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 t="s">
        <v>221</v>
      </c>
      <c r="F13" s="7"/>
      <c r="H13" s="4">
        <v>-1</v>
      </c>
      <c r="I13" s="1">
        <f t="shared" ref="I13:I18" si="2">H13-C13</f>
        <v>-1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 t="s">
        <v>221</v>
      </c>
      <c r="F14" s="7"/>
      <c r="H14" s="4">
        <v>-34</v>
      </c>
      <c r="I14" s="1">
        <f t="shared" si="2"/>
        <v>-34</v>
      </c>
    </row>
    <row r="15" spans="2:9" x14ac:dyDescent="0.3">
      <c r="B15" s="20">
        <f t="shared" si="3"/>
        <v>46253</v>
      </c>
      <c r="C15" s="4">
        <v>-1000</v>
      </c>
      <c r="D15" s="4"/>
      <c r="E15" s="6" t="s">
        <v>221</v>
      </c>
      <c r="F15" s="7"/>
      <c r="H15" s="4">
        <v>2038</v>
      </c>
      <c r="I15" s="1">
        <f t="shared" si="2"/>
        <v>3038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 t="s">
        <v>221</v>
      </c>
      <c r="F16" s="7"/>
      <c r="H16" s="4">
        <v>-16</v>
      </c>
      <c r="I16" s="1">
        <f t="shared" si="2"/>
        <v>-16</v>
      </c>
    </row>
    <row r="17" spans="2:9" x14ac:dyDescent="0.3">
      <c r="B17" s="20">
        <f t="shared" si="3"/>
        <v>46255</v>
      </c>
      <c r="C17" s="4"/>
      <c r="D17" s="4">
        <v>1600</v>
      </c>
      <c r="E17" s="6" t="s">
        <v>221</v>
      </c>
      <c r="F17" s="7"/>
      <c r="H17" s="4">
        <v>-1591</v>
      </c>
      <c r="I17" s="1">
        <f t="shared" si="2"/>
        <v>-1591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 t="s">
        <v>221</v>
      </c>
      <c r="F18" s="7"/>
      <c r="H18" s="4">
        <v>-38</v>
      </c>
      <c r="I18" s="1">
        <f t="shared" si="2"/>
        <v>-38</v>
      </c>
    </row>
    <row r="19" spans="2:9" x14ac:dyDescent="0.3">
      <c r="B19" s="21" t="s">
        <v>11</v>
      </c>
      <c r="C19" s="2">
        <f>SUM(C12:C18)</f>
        <v>-1000</v>
      </c>
      <c r="D19" s="2">
        <f>SUM(D12:D18)</f>
        <v>1600</v>
      </c>
      <c r="E19" s="6" t="s">
        <v>221</v>
      </c>
      <c r="F19" s="7"/>
      <c r="H19" s="2">
        <f>SUM(H12:H18)</f>
        <v>360</v>
      </c>
      <c r="I19" s="2">
        <f>SUM(I12:I18)</f>
        <v>1360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 t="s">
        <v>221</v>
      </c>
      <c r="F20" s="7"/>
      <c r="H20" s="4">
        <v>-78</v>
      </c>
      <c r="I20" s="1">
        <f>H20-C20</f>
        <v>-78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 t="s">
        <v>221</v>
      </c>
      <c r="F21" s="7"/>
      <c r="H21" s="4">
        <v>14</v>
      </c>
      <c r="I21" s="1">
        <f t="shared" ref="I21:I26" si="4">H21-C21</f>
        <v>14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 t="s">
        <v>221</v>
      </c>
      <c r="F22" s="7"/>
      <c r="H22" s="4">
        <v>-7</v>
      </c>
      <c r="I22" s="1">
        <f t="shared" si="4"/>
        <v>-7</v>
      </c>
    </row>
    <row r="23" spans="2:9" x14ac:dyDescent="0.3">
      <c r="B23" s="20">
        <f t="shared" si="5"/>
        <v>46260</v>
      </c>
      <c r="C23" s="4">
        <v>-500</v>
      </c>
      <c r="D23" s="4"/>
      <c r="E23" s="6" t="s">
        <v>221</v>
      </c>
      <c r="F23" s="7"/>
      <c r="H23" s="4">
        <v>1008</v>
      </c>
      <c r="I23" s="1">
        <f t="shared" si="4"/>
        <v>1508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 t="s">
        <v>221</v>
      </c>
      <c r="F24" s="7"/>
      <c r="H24" s="4">
        <v>-1</v>
      </c>
      <c r="I24" s="1">
        <f t="shared" si="4"/>
        <v>-1</v>
      </c>
    </row>
    <row r="25" spans="2:9" x14ac:dyDescent="0.3">
      <c r="B25" s="20">
        <f t="shared" si="5"/>
        <v>46262</v>
      </c>
      <c r="C25" s="4">
        <v>0</v>
      </c>
      <c r="D25" s="4">
        <v>980</v>
      </c>
      <c r="E25" s="6" t="s">
        <v>221</v>
      </c>
      <c r="F25" s="7"/>
      <c r="H25" s="4">
        <v>-1</v>
      </c>
      <c r="I25" s="1">
        <f t="shared" si="4"/>
        <v>-1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 t="s">
        <v>221</v>
      </c>
      <c r="F26" s="7"/>
      <c r="H26" s="4">
        <v>-7</v>
      </c>
      <c r="I26" s="1">
        <f t="shared" si="4"/>
        <v>-7</v>
      </c>
    </row>
    <row r="27" spans="2:9" x14ac:dyDescent="0.3">
      <c r="B27" s="21" t="s">
        <v>11</v>
      </c>
      <c r="C27" s="2">
        <f>SUM(C20:C26)</f>
        <v>-500</v>
      </c>
      <c r="D27" s="2">
        <f>SUM(D20:D26)</f>
        <v>980</v>
      </c>
      <c r="E27" s="6" t="s">
        <v>221</v>
      </c>
      <c r="F27" s="7"/>
      <c r="H27" s="2">
        <f>SUM(H20:H26)</f>
        <v>928</v>
      </c>
      <c r="I27" s="2">
        <f>SUM(I20:I26)</f>
        <v>1428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 t="s">
        <v>221</v>
      </c>
      <c r="F28" s="7"/>
      <c r="H28" s="4">
        <v>-193</v>
      </c>
      <c r="I28" s="1">
        <f>H28-C28</f>
        <v>-193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 t="s">
        <v>221</v>
      </c>
      <c r="F29" s="7"/>
      <c r="H29" s="4">
        <v>-144</v>
      </c>
      <c r="I29" s="1">
        <f t="shared" ref="I29:I34" si="6">H29-C29</f>
        <v>-144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 t="s">
        <v>221</v>
      </c>
      <c r="F30" s="7"/>
      <c r="H30" s="4">
        <v>-1</v>
      </c>
      <c r="I30" s="1">
        <f t="shared" si="6"/>
        <v>-1</v>
      </c>
    </row>
    <row r="31" spans="2:9" x14ac:dyDescent="0.3">
      <c r="B31" s="20">
        <f t="shared" si="7"/>
        <v>46267</v>
      </c>
      <c r="C31" s="4">
        <v>-500</v>
      </c>
      <c r="D31" s="4">
        <v>0</v>
      </c>
      <c r="E31" s="6" t="s">
        <v>221</v>
      </c>
      <c r="F31" s="7"/>
      <c r="H31" s="4">
        <v>308</v>
      </c>
      <c r="I31" s="1">
        <f t="shared" si="6"/>
        <v>808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 t="s">
        <v>221</v>
      </c>
      <c r="F32" s="7"/>
      <c r="H32" s="4">
        <v>208</v>
      </c>
      <c r="I32" s="1">
        <f t="shared" si="6"/>
        <v>208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 t="s">
        <v>221</v>
      </c>
      <c r="F33" s="7"/>
      <c r="H33" s="4">
        <v>-35</v>
      </c>
      <c r="I33" s="1">
        <f t="shared" si="6"/>
        <v>-35</v>
      </c>
    </row>
    <row r="34" spans="1:9" ht="15" thickBot="1" x14ac:dyDescent="0.35">
      <c r="B34" s="20">
        <f t="shared" si="7"/>
        <v>46270</v>
      </c>
      <c r="C34" s="4">
        <v>-500</v>
      </c>
      <c r="D34" s="4">
        <v>0</v>
      </c>
      <c r="E34" s="6" t="s">
        <v>221</v>
      </c>
      <c r="F34" s="7"/>
      <c r="H34" s="4">
        <v>506</v>
      </c>
      <c r="I34" s="1">
        <f t="shared" si="6"/>
        <v>1006</v>
      </c>
    </row>
    <row r="35" spans="1:9" x14ac:dyDescent="0.3">
      <c r="B35" s="19" t="s">
        <v>11</v>
      </c>
      <c r="C35" s="2">
        <f>SUM(C28:C34)</f>
        <v>-1000</v>
      </c>
      <c r="D35" s="2">
        <f>SUM(D28:D34)</f>
        <v>0</v>
      </c>
      <c r="E35" s="6"/>
      <c r="F35" s="7"/>
      <c r="H35" s="2">
        <f t="shared" ref="H35:I35" si="8">SUM(H28:H34)</f>
        <v>649</v>
      </c>
      <c r="I35" s="2">
        <f t="shared" si="8"/>
        <v>1649</v>
      </c>
    </row>
    <row r="36" spans="1:9" x14ac:dyDescent="0.3">
      <c r="B36" s="19" t="s">
        <v>12</v>
      </c>
      <c r="C36" s="3">
        <f>SUM(C35+C27+C19+C11)</f>
        <v>-3500</v>
      </c>
      <c r="D36" s="3">
        <f>SUM(D35+D27+D19+D11)</f>
        <v>5060</v>
      </c>
      <c r="E36" s="6"/>
      <c r="F36" s="7"/>
      <c r="H36" s="3">
        <f t="shared" ref="H36:I36" si="9">SUM(H35+H27+H19+H11)</f>
        <v>1799</v>
      </c>
      <c r="I36" s="3">
        <f t="shared" si="9"/>
        <v>5299</v>
      </c>
    </row>
    <row r="37" spans="1:9" ht="15" thickBot="1" x14ac:dyDescent="0.35">
      <c r="B37" s="19" t="s">
        <v>13</v>
      </c>
      <c r="C37" s="1">
        <f>D36+C36</f>
        <v>1560</v>
      </c>
      <c r="E37" s="24"/>
      <c r="F37" s="25"/>
      <c r="H37" s="1">
        <f t="shared" ref="H37:I37" si="10">I36+H36</f>
        <v>7098</v>
      </c>
      <c r="I37" s="1">
        <f t="shared" si="10"/>
        <v>5299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57</v>
      </c>
      <c r="C39" s="38">
        <v>3080</v>
      </c>
      <c r="E39" s="6" t="s">
        <v>222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56">
        <v>2</v>
      </c>
      <c r="F41" s="32"/>
    </row>
    <row r="42" spans="1:9" x14ac:dyDescent="0.3">
      <c r="B42" s="29"/>
      <c r="F42" s="32" t="s">
        <v>223</v>
      </c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955</v>
      </c>
      <c r="D48" s="4">
        <v>0</v>
      </c>
      <c r="E48" s="6" t="s">
        <v>224</v>
      </c>
      <c r="F48" s="41" t="s">
        <v>225</v>
      </c>
      <c r="H48" s="4">
        <v>-49</v>
      </c>
      <c r="I48" s="1">
        <f>H48-C48</f>
        <v>-1004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224</v>
      </c>
      <c r="F49" s="7"/>
      <c r="H49" s="4">
        <v>952</v>
      </c>
      <c r="I49" s="1">
        <f t="shared" ref="I49:I54" si="11">H49-C49</f>
        <v>952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224</v>
      </c>
      <c r="F50" s="7"/>
      <c r="H50" s="4">
        <v>-13</v>
      </c>
      <c r="I50" s="1">
        <f t="shared" si="11"/>
        <v>-13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 t="s">
        <v>224</v>
      </c>
      <c r="F51" s="7"/>
      <c r="H51" s="4">
        <v>3</v>
      </c>
      <c r="I51" s="1">
        <f t="shared" si="11"/>
        <v>3</v>
      </c>
    </row>
    <row r="52" spans="1:9" x14ac:dyDescent="0.3">
      <c r="A52" s="41"/>
      <c r="B52" s="41" t="s">
        <v>25</v>
      </c>
      <c r="C52" s="4">
        <v>500</v>
      </c>
      <c r="D52" s="4">
        <v>1495</v>
      </c>
      <c r="E52" s="6" t="s">
        <v>224</v>
      </c>
      <c r="F52" s="7" t="s">
        <v>226</v>
      </c>
      <c r="H52" s="4">
        <v>275</v>
      </c>
      <c r="I52" s="1"/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224</v>
      </c>
      <c r="F53" s="7"/>
      <c r="H53" s="4">
        <v>-2</v>
      </c>
      <c r="I53" s="1">
        <f t="shared" si="11"/>
        <v>-2</v>
      </c>
    </row>
    <row r="54" spans="1:9" x14ac:dyDescent="0.3">
      <c r="A54" s="41"/>
      <c r="B54" s="41" t="s">
        <v>27</v>
      </c>
      <c r="C54" s="4">
        <v>0</v>
      </c>
      <c r="D54" s="4">
        <v>0</v>
      </c>
      <c r="E54" s="6" t="s">
        <v>224</v>
      </c>
      <c r="F54" s="7"/>
      <c r="H54" s="4">
        <v>-21</v>
      </c>
      <c r="I54" s="1">
        <f t="shared" si="11"/>
        <v>-21</v>
      </c>
    </row>
    <row r="55" spans="1:9" x14ac:dyDescent="0.3">
      <c r="A55" s="41"/>
      <c r="B55" s="41" t="s">
        <v>29</v>
      </c>
      <c r="C55" s="2">
        <f>SUM(C48:C54)</f>
        <v>1455</v>
      </c>
      <c r="D55" s="2">
        <f>SUM(D48:D54)</f>
        <v>1495</v>
      </c>
      <c r="E55" s="6" t="s">
        <v>224</v>
      </c>
      <c r="F55" s="7"/>
      <c r="H55" s="2">
        <f>SUM(H48:H54)</f>
        <v>1145</v>
      </c>
      <c r="I55" s="2">
        <f>SUM(I48:I54)</f>
        <v>-85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224</v>
      </c>
      <c r="F56" s="7"/>
      <c r="H56" s="4">
        <v>-37</v>
      </c>
      <c r="I56" s="1">
        <f>H56-C56</f>
        <v>-37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224</v>
      </c>
      <c r="F57" s="7"/>
      <c r="H57" s="4">
        <v>0</v>
      </c>
      <c r="I57" s="1">
        <f t="shared" ref="I57:I62" si="12">H57-C57</f>
        <v>0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" t="s">
        <v>224</v>
      </c>
      <c r="F58" s="7"/>
      <c r="H58" s="4">
        <v>15</v>
      </c>
      <c r="I58" s="1">
        <f t="shared" si="12"/>
        <v>15</v>
      </c>
    </row>
    <row r="59" spans="1:9" x14ac:dyDescent="0.3">
      <c r="A59" s="41"/>
      <c r="B59" s="41" t="s">
        <v>34</v>
      </c>
      <c r="C59" s="4">
        <v>500</v>
      </c>
      <c r="D59" s="4">
        <v>0</v>
      </c>
      <c r="E59" s="6" t="s">
        <v>224</v>
      </c>
      <c r="F59" s="7" t="s">
        <v>225</v>
      </c>
      <c r="H59" s="4">
        <v>0</v>
      </c>
      <c r="I59" s="1">
        <f t="shared" si="12"/>
        <v>-500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224</v>
      </c>
      <c r="F60" s="7"/>
      <c r="H60" s="4">
        <v>511</v>
      </c>
      <c r="I60" s="1">
        <f t="shared" si="12"/>
        <v>511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224</v>
      </c>
      <c r="F61" s="7"/>
      <c r="H61" s="4">
        <v>-28</v>
      </c>
      <c r="I61" s="1">
        <f t="shared" si="12"/>
        <v>-28</v>
      </c>
    </row>
    <row r="62" spans="1:9" x14ac:dyDescent="0.3">
      <c r="A62" s="41"/>
      <c r="B62" s="41" t="s">
        <v>37</v>
      </c>
      <c r="C62" s="4">
        <v>500</v>
      </c>
      <c r="D62" s="4">
        <v>0</v>
      </c>
      <c r="E62" s="6" t="s">
        <v>221</v>
      </c>
      <c r="F62" s="7" t="s">
        <v>225</v>
      </c>
      <c r="H62" s="4">
        <v>498</v>
      </c>
      <c r="I62" s="1">
        <f t="shared" si="12"/>
        <v>-2</v>
      </c>
    </row>
    <row r="63" spans="1:9" x14ac:dyDescent="0.3">
      <c r="A63" s="41"/>
      <c r="B63" s="41" t="s">
        <v>29</v>
      </c>
      <c r="C63" s="2">
        <f>SUM(C56:C62)</f>
        <v>1000</v>
      </c>
      <c r="D63" s="2">
        <f>SUM(D56:D62)</f>
        <v>0</v>
      </c>
      <c r="E63" s="6" t="s">
        <v>221</v>
      </c>
      <c r="F63" s="7"/>
      <c r="H63" s="2">
        <f>SUM(H56:H62)</f>
        <v>959</v>
      </c>
      <c r="I63" s="2">
        <f>SUM(I56:I62)</f>
        <v>-41</v>
      </c>
    </row>
    <row r="64" spans="1:9" x14ac:dyDescent="0.3">
      <c r="A64" s="41"/>
      <c r="B64" s="41" t="s">
        <v>38</v>
      </c>
      <c r="C64" s="4">
        <v>500</v>
      </c>
      <c r="D64" s="4">
        <v>0</v>
      </c>
      <c r="E64" s="6" t="s">
        <v>221</v>
      </c>
      <c r="F64" s="7" t="s">
        <v>225</v>
      </c>
      <c r="H64" s="4">
        <v>382</v>
      </c>
      <c r="I64" s="1">
        <f>H64-C64</f>
        <v>-118</v>
      </c>
    </row>
    <row r="65" spans="1:9" x14ac:dyDescent="0.3">
      <c r="A65" s="41"/>
      <c r="B65" s="41" t="s">
        <v>39</v>
      </c>
      <c r="C65" s="4"/>
      <c r="D65" s="4">
        <v>0</v>
      </c>
      <c r="E65" s="6" t="s">
        <v>227</v>
      </c>
      <c r="F65" s="7"/>
      <c r="H65" s="4">
        <v>3</v>
      </c>
      <c r="I65" s="1">
        <f t="shared" ref="I65:I70" si="13">H65-C65</f>
        <v>3</v>
      </c>
    </row>
    <row r="66" spans="1:9" x14ac:dyDescent="0.3">
      <c r="A66" s="41"/>
      <c r="B66" s="41" t="s">
        <v>40</v>
      </c>
      <c r="C66" s="4">
        <v>480</v>
      </c>
      <c r="D66" s="4">
        <v>0</v>
      </c>
      <c r="E66" s="6" t="s">
        <v>221</v>
      </c>
      <c r="F66" s="78" t="s">
        <v>228</v>
      </c>
      <c r="H66" s="4">
        <v>597</v>
      </c>
      <c r="I66" s="1">
        <f t="shared" si="13"/>
        <v>117</v>
      </c>
    </row>
    <row r="67" spans="1:9" x14ac:dyDescent="0.3">
      <c r="A67" s="41"/>
      <c r="B67" s="41" t="s">
        <v>41</v>
      </c>
      <c r="C67" s="4">
        <v>0</v>
      </c>
      <c r="D67" s="4">
        <v>1490</v>
      </c>
      <c r="E67" s="6" t="s">
        <v>221</v>
      </c>
      <c r="F67" s="7" t="s">
        <v>229</v>
      </c>
      <c r="H67" s="4">
        <v>0</v>
      </c>
      <c r="I67" s="1">
        <f t="shared" si="13"/>
        <v>0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221</v>
      </c>
      <c r="F68" s="7"/>
      <c r="H68" s="4">
        <v>-2</v>
      </c>
      <c r="I68" s="1">
        <f t="shared" si="13"/>
        <v>-2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221</v>
      </c>
      <c r="F69" s="7"/>
      <c r="H69" s="4">
        <v>6</v>
      </c>
      <c r="I69" s="1">
        <f t="shared" si="13"/>
        <v>6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221</v>
      </c>
      <c r="F70" s="7"/>
      <c r="H70" s="4">
        <v>-23</v>
      </c>
      <c r="I70" s="1">
        <f t="shared" si="13"/>
        <v>-23</v>
      </c>
    </row>
    <row r="71" spans="1:9" x14ac:dyDescent="0.3">
      <c r="A71" s="41"/>
      <c r="B71" s="41" t="s">
        <v>29</v>
      </c>
      <c r="C71" s="2">
        <f>SUM(C64:C70)</f>
        <v>980</v>
      </c>
      <c r="D71" s="2">
        <f>SUM(D64:D70)</f>
        <v>1490</v>
      </c>
      <c r="E71" s="6"/>
      <c r="F71" s="7"/>
      <c r="H71" s="2">
        <f>SUM(H64:H70)</f>
        <v>963</v>
      </c>
      <c r="I71" s="2">
        <f>SUM(I64:I70)</f>
        <v>-17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221</v>
      </c>
      <c r="F72" s="7"/>
      <c r="H72" s="4">
        <v>-27</v>
      </c>
      <c r="I72" s="1">
        <f>H72-C72</f>
        <v>-27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221</v>
      </c>
      <c r="F73" s="7"/>
      <c r="H73" s="4">
        <v>-7</v>
      </c>
      <c r="I73" s="1">
        <f t="shared" ref="I73:I78" si="14">H73-C73</f>
        <v>-7</v>
      </c>
    </row>
    <row r="74" spans="1:9" x14ac:dyDescent="0.3">
      <c r="A74" s="41"/>
      <c r="B74" s="41" t="s">
        <v>48</v>
      </c>
      <c r="C74" s="4"/>
      <c r="D74" s="4">
        <v>0</v>
      </c>
      <c r="E74" s="6" t="s">
        <v>227</v>
      </c>
      <c r="F74" s="7"/>
      <c r="H74" s="4">
        <v>9</v>
      </c>
      <c r="I74" s="1">
        <f t="shared" si="14"/>
        <v>9</v>
      </c>
    </row>
    <row r="75" spans="1:9" x14ac:dyDescent="0.3">
      <c r="A75" s="41"/>
      <c r="B75" s="41" t="s">
        <v>50</v>
      </c>
      <c r="C75" s="4">
        <v>500</v>
      </c>
      <c r="D75" s="4">
        <v>0</v>
      </c>
      <c r="E75" s="6" t="s">
        <v>221</v>
      </c>
      <c r="F75" s="7"/>
      <c r="H75" s="4">
        <v>520</v>
      </c>
      <c r="I75" s="1">
        <f t="shared" si="14"/>
        <v>20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221</v>
      </c>
      <c r="F76" s="7" t="s">
        <v>225</v>
      </c>
      <c r="H76" s="4">
        <v>14</v>
      </c>
      <c r="I76" s="1">
        <f t="shared" si="14"/>
        <v>14</v>
      </c>
    </row>
    <row r="77" spans="1:9" x14ac:dyDescent="0.3">
      <c r="A77" s="41"/>
      <c r="B77" s="41" t="s">
        <v>52</v>
      </c>
      <c r="C77" s="4">
        <v>0</v>
      </c>
      <c r="D77" s="4">
        <v>995</v>
      </c>
      <c r="E77" s="6" t="s">
        <v>221</v>
      </c>
      <c r="F77" s="7" t="s">
        <v>230</v>
      </c>
      <c r="H77" s="4">
        <v>12</v>
      </c>
      <c r="I77" s="1">
        <f t="shared" si="14"/>
        <v>12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221</v>
      </c>
      <c r="F78" s="7"/>
      <c r="H78" s="4">
        <v>1</v>
      </c>
      <c r="I78" s="1">
        <f t="shared" si="14"/>
        <v>1</v>
      </c>
    </row>
    <row r="79" spans="1:9" x14ac:dyDescent="0.3">
      <c r="A79" s="41"/>
      <c r="B79" s="41" t="s">
        <v>11</v>
      </c>
      <c r="C79" s="2">
        <f>SUM(C72:C78)</f>
        <v>500</v>
      </c>
      <c r="D79" s="2">
        <f>SUM(D72:D78)</f>
        <v>995</v>
      </c>
      <c r="E79" s="6"/>
      <c r="F79" s="7"/>
      <c r="H79" s="2">
        <f t="shared" ref="H79:I79" si="15">SUM(H72:H78)</f>
        <v>522</v>
      </c>
      <c r="I79" s="2">
        <f t="shared" si="15"/>
        <v>22</v>
      </c>
    </row>
    <row r="80" spans="1:9" x14ac:dyDescent="0.3">
      <c r="A80" s="41"/>
      <c r="B80" s="41" t="s">
        <v>12</v>
      </c>
      <c r="C80" s="3">
        <f>SUM(C79+C71+C63+C55)</f>
        <v>3935</v>
      </c>
      <c r="D80" s="3">
        <f>SUM(D79+D71+D63+D55)</f>
        <v>3980</v>
      </c>
      <c r="E80" s="6"/>
      <c r="F80" s="7"/>
      <c r="H80" s="3">
        <f t="shared" ref="H80:I80" si="16">SUM(H79+H71+H63+H55)</f>
        <v>3589</v>
      </c>
      <c r="I80" s="3">
        <f t="shared" si="16"/>
        <v>-121</v>
      </c>
    </row>
    <row r="81" spans="1:9" x14ac:dyDescent="0.3">
      <c r="A81" s="41"/>
      <c r="B81" s="41" t="s">
        <v>13</v>
      </c>
      <c r="C81" s="1">
        <f>D80+C80</f>
        <v>7915</v>
      </c>
      <c r="E81" s="24"/>
      <c r="F81" s="25"/>
      <c r="H81" s="1">
        <f t="shared" ref="H81:I81" si="17">I80+H80</f>
        <v>3468</v>
      </c>
      <c r="I81" s="1">
        <f t="shared" si="17"/>
        <v>-121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3125</v>
      </c>
      <c r="D83" s="41"/>
      <c r="E83" s="43" t="s">
        <v>221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221</v>
      </c>
      <c r="F92" s="7"/>
      <c r="H92" s="4">
        <v>25</v>
      </c>
      <c r="I92" s="1">
        <f>H92-C92</f>
        <v>25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221</v>
      </c>
      <c r="F93" s="7"/>
      <c r="H93" s="4">
        <v>-7</v>
      </c>
      <c r="I93" s="1">
        <f t="shared" ref="I93:I98" si="18">H93-C93</f>
        <v>-7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221</v>
      </c>
      <c r="F94" s="7"/>
      <c r="H94" s="4">
        <v>12</v>
      </c>
      <c r="I94" s="1">
        <f t="shared" si="18"/>
        <v>12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221</v>
      </c>
      <c r="F95" s="7"/>
      <c r="H95" s="4">
        <v>11</v>
      </c>
      <c r="I95" s="1">
        <f t="shared" si="18"/>
        <v>11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221</v>
      </c>
      <c r="F96" s="7"/>
      <c r="H96" s="4">
        <v>-5</v>
      </c>
      <c r="I96" s="1">
        <f t="shared" si="18"/>
        <v>-5</v>
      </c>
    </row>
    <row r="97" spans="1:9" x14ac:dyDescent="0.3">
      <c r="A97" s="41"/>
      <c r="B97" s="41" t="s">
        <v>65</v>
      </c>
      <c r="C97" s="4">
        <v>640</v>
      </c>
      <c r="D97" s="4">
        <v>980</v>
      </c>
      <c r="E97" s="6" t="s">
        <v>221</v>
      </c>
      <c r="F97" s="7" t="s">
        <v>231</v>
      </c>
      <c r="H97" s="4">
        <v>0</v>
      </c>
      <c r="I97" s="1">
        <f t="shared" si="18"/>
        <v>-640</v>
      </c>
    </row>
    <row r="98" spans="1:9" x14ac:dyDescent="0.3">
      <c r="A98" s="41"/>
      <c r="B98" s="41" t="s">
        <v>66</v>
      </c>
      <c r="C98" s="4">
        <v>0</v>
      </c>
      <c r="D98" s="4">
        <v>0</v>
      </c>
      <c r="E98" s="6"/>
      <c r="F98" s="7"/>
      <c r="H98" s="4">
        <v>0</v>
      </c>
      <c r="I98" s="1">
        <f t="shared" si="18"/>
        <v>0</v>
      </c>
    </row>
    <row r="99" spans="1:9" x14ac:dyDescent="0.3">
      <c r="A99" s="41"/>
      <c r="B99" s="41" t="s">
        <v>29</v>
      </c>
      <c r="C99" s="2">
        <f>SUM(C92:C98)</f>
        <v>640</v>
      </c>
      <c r="D99" s="2">
        <f>SUM(D92:D98)</f>
        <v>980</v>
      </c>
      <c r="E99" s="6"/>
      <c r="F99" s="7"/>
      <c r="H99" s="2">
        <f>SUM(H92:H98)</f>
        <v>36</v>
      </c>
      <c r="I99" s="2">
        <f>SUM(I92:I98)</f>
        <v>-604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"/>
      <c r="F100" s="7"/>
      <c r="H100" s="4">
        <v>0</v>
      </c>
      <c r="I100" s="1">
        <f>H100-C100</f>
        <v>0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19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19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19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9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9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9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0</v>
      </c>
      <c r="I107" s="2">
        <f>SUM(I100:I106)</f>
        <v>0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0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0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0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0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0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0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1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1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1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1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1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21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2">SUM(H116:H122)</f>
        <v>0</v>
      </c>
      <c r="I123" s="2">
        <f t="shared" si="22"/>
        <v>0</v>
      </c>
    </row>
    <row r="124" spans="1:9" x14ac:dyDescent="0.3">
      <c r="A124" s="41"/>
      <c r="B124" s="41" t="s">
        <v>12</v>
      </c>
      <c r="C124" s="3">
        <f>SUM(C123+C115+C107+C99)</f>
        <v>640</v>
      </c>
      <c r="D124" s="3">
        <f>SUM(D123+D115+D107+D99)</f>
        <v>980</v>
      </c>
      <c r="E124" s="6"/>
      <c r="F124" s="7"/>
      <c r="H124" s="3">
        <f t="shared" ref="H124:I124" si="23">SUM(H123+H115+H107+H99)</f>
        <v>36</v>
      </c>
      <c r="I124" s="3">
        <f t="shared" si="23"/>
        <v>-604</v>
      </c>
    </row>
    <row r="125" spans="1:9" x14ac:dyDescent="0.3">
      <c r="A125" s="41"/>
      <c r="B125" s="41" t="s">
        <v>13</v>
      </c>
      <c r="C125" s="1">
        <f>D124+C124</f>
        <v>1620</v>
      </c>
      <c r="E125" s="24"/>
      <c r="F125" s="25"/>
      <c r="H125" s="1">
        <f t="shared" ref="H125:I125" si="24">I124+H124</f>
        <v>-568</v>
      </c>
      <c r="I125" s="1">
        <f t="shared" si="24"/>
        <v>-604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5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5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5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5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5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5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6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6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6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6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6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6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7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7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7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7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7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7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8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8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8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8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8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8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9">SUM(H160:H166)</f>
        <v>0</v>
      </c>
      <c r="I167" s="2">
        <f t="shared" si="29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0">SUM(H167+H159+H151+H143)</f>
        <v>0</v>
      </c>
      <c r="I168" s="3">
        <f t="shared" si="30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1">I168+H168</f>
        <v>0</v>
      </c>
      <c r="I169" s="1">
        <f t="shared" si="31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2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2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2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2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2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2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3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3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3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3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3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3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4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4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4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4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4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4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5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5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5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5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5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5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6">SUM(H204:H210)</f>
        <v>0</v>
      </c>
      <c r="I211" s="2">
        <f t="shared" si="36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7">SUM(H211+H203+H195+H187)</f>
        <v>0</v>
      </c>
      <c r="I212" s="3">
        <f t="shared" si="37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8">I212+H212</f>
        <v>0</v>
      </c>
      <c r="I213" s="1">
        <f t="shared" si="38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0AF94-BEAE-4601-A5CB-3A8E140EEA5D}">
  <sheetPr codeName="Sheet7"/>
  <dimension ref="A1:I222"/>
  <sheetViews>
    <sheetView showGridLines="0" workbookViewId="0">
      <pane xSplit="2" ySplit="3" topLeftCell="C84" activePane="bottomRight" state="frozen"/>
      <selection pane="topRight" activeCell="C23" sqref="C23"/>
      <selection pane="bottomLeft" activeCell="C23" sqref="C23"/>
      <selection pane="bottomRight" activeCell="H95" sqref="H95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5" max="5" width="9.109375" style="67"/>
    <col min="6" max="6" width="57.44140625" customWidth="1"/>
    <col min="7" max="7" width="0.88671875" customWidth="1"/>
    <col min="9" max="9" width="14.44140625" bestFit="1" customWidth="1"/>
  </cols>
  <sheetData>
    <row r="1" spans="2:9" ht="18.75" customHeight="1" x14ac:dyDescent="0.3">
      <c r="B1" s="15"/>
      <c r="C1" s="14" t="s">
        <v>232</v>
      </c>
      <c r="D1" s="14"/>
    </row>
    <row r="2" spans="2:9" x14ac:dyDescent="0.3">
      <c r="C2" s="5" t="s">
        <v>1</v>
      </c>
      <c r="D2" s="5"/>
    </row>
    <row r="3" spans="2:9" ht="86.4" x14ac:dyDescent="0.3">
      <c r="B3" s="19"/>
      <c r="C3" s="23" t="s">
        <v>2</v>
      </c>
      <c r="D3" s="18" t="s">
        <v>3</v>
      </c>
      <c r="E3" s="6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9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9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9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0</v>
      </c>
      <c r="D7" s="4">
        <v>1120</v>
      </c>
      <c r="E7" s="69" t="s">
        <v>233</v>
      </c>
      <c r="F7" s="7" t="s">
        <v>234</v>
      </c>
      <c r="H7" s="4"/>
      <c r="I7" s="1">
        <f t="shared" si="0"/>
        <v>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9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9"/>
      <c r="F9" s="7"/>
      <c r="H9" s="4"/>
      <c r="I9" s="1">
        <f t="shared" si="0"/>
        <v>0</v>
      </c>
    </row>
    <row r="10" spans="2:9" x14ac:dyDescent="0.3">
      <c r="B10" s="20">
        <f t="shared" si="1"/>
        <v>46249</v>
      </c>
      <c r="C10" s="4">
        <v>0</v>
      </c>
      <c r="D10" s="4">
        <v>0</v>
      </c>
      <c r="E10" s="69"/>
      <c r="F10" s="7"/>
      <c r="H10" s="4"/>
      <c r="I10" s="1">
        <f t="shared" si="0"/>
        <v>0</v>
      </c>
    </row>
    <row r="11" spans="2:9" x14ac:dyDescent="0.3">
      <c r="B11" s="21" t="s">
        <v>11</v>
      </c>
      <c r="C11" s="2">
        <f>SUM(C4:C10)</f>
        <v>0</v>
      </c>
      <c r="D11" s="2">
        <f>SUM(D4:D10)</f>
        <v>1120</v>
      </c>
      <c r="E11" s="69"/>
      <c r="F11" s="7"/>
      <c r="H11" s="2">
        <f>SUM(H4:H10)</f>
        <v>0</v>
      </c>
      <c r="I11" s="2">
        <f>SUM(I4:I10)</f>
        <v>0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9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9"/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9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9"/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9"/>
      <c r="F16" s="7"/>
      <c r="H16" s="4"/>
      <c r="I16" s="1">
        <f t="shared" si="2"/>
        <v>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9"/>
      <c r="F17" s="7"/>
      <c r="H17" s="4"/>
      <c r="I17" s="1">
        <f t="shared" si="2"/>
        <v>0</v>
      </c>
    </row>
    <row r="18" spans="2:9" x14ac:dyDescent="0.3">
      <c r="B18" s="20">
        <f t="shared" si="3"/>
        <v>46256</v>
      </c>
      <c r="C18" s="4">
        <v>0</v>
      </c>
      <c r="D18" s="4">
        <v>0</v>
      </c>
      <c r="E18" s="69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0</v>
      </c>
      <c r="D19" s="2">
        <f>SUM(D12:D18)</f>
        <v>0</v>
      </c>
      <c r="E19" s="69"/>
      <c r="F19" s="7"/>
      <c r="H19" s="2">
        <f>SUM(H12:H18)</f>
        <v>0</v>
      </c>
      <c r="I19" s="2">
        <f>SUM(I12:I18)</f>
        <v>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9"/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9"/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9"/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9"/>
      <c r="F23" s="7"/>
      <c r="H23" s="4"/>
      <c r="I23" s="1">
        <f t="shared" si="4"/>
        <v>0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9"/>
      <c r="F24" s="7"/>
      <c r="H24" s="4"/>
      <c r="I24" s="1">
        <f t="shared" si="4"/>
        <v>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9"/>
      <c r="F25" s="7"/>
      <c r="H25" s="4"/>
      <c r="I25" s="1">
        <f t="shared" si="4"/>
        <v>0</v>
      </c>
    </row>
    <row r="26" spans="2:9" x14ac:dyDescent="0.3">
      <c r="B26" s="20">
        <f t="shared" si="5"/>
        <v>46263</v>
      </c>
      <c r="C26" s="4">
        <v>0</v>
      </c>
      <c r="D26" s="4">
        <v>0</v>
      </c>
      <c r="E26" s="69"/>
      <c r="F26" s="7"/>
      <c r="H26" s="4"/>
      <c r="I26" s="1">
        <f t="shared" si="4"/>
        <v>0</v>
      </c>
    </row>
    <row r="27" spans="2:9" x14ac:dyDescent="0.3">
      <c r="B27" s="21" t="s">
        <v>11</v>
      </c>
      <c r="C27" s="2">
        <f>SUM(C20:C26)</f>
        <v>0</v>
      </c>
      <c r="D27" s="2">
        <f>SUM(D20:D26)</f>
        <v>0</v>
      </c>
      <c r="E27" s="69"/>
      <c r="F27" s="7"/>
      <c r="H27" s="2">
        <f>SUM(H20:H26)</f>
        <v>0</v>
      </c>
      <c r="I27" s="2">
        <f>SUM(I20:I26)</f>
        <v>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9" t="s">
        <v>235</v>
      </c>
      <c r="F28" s="7"/>
      <c r="H28" s="60">
        <v>-43.61</v>
      </c>
      <c r="I28" s="1">
        <f>H28-C28</f>
        <v>-43.61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9" t="s">
        <v>236</v>
      </c>
      <c r="F29" s="7"/>
      <c r="H29" s="60">
        <v>16.88</v>
      </c>
      <c r="I29" s="1">
        <f t="shared" ref="I29:I34" si="6">H29-C29</f>
        <v>16.88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9" t="s">
        <v>236</v>
      </c>
      <c r="F30" s="7"/>
      <c r="H30" s="60">
        <v>-3.01</v>
      </c>
      <c r="I30" s="1">
        <f t="shared" si="6"/>
        <v>-3.01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9" t="s">
        <v>237</v>
      </c>
      <c r="F31" s="7"/>
      <c r="H31" s="60">
        <v>-28.16</v>
      </c>
      <c r="I31" s="1">
        <f t="shared" si="6"/>
        <v>-28.16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9" t="s">
        <v>238</v>
      </c>
      <c r="F32" s="7"/>
      <c r="H32" s="60">
        <v>-8.4</v>
      </c>
      <c r="I32" s="1">
        <f t="shared" si="6"/>
        <v>-8.4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9" t="s">
        <v>238</v>
      </c>
      <c r="F33" s="7"/>
      <c r="H33" s="60">
        <v>39.74</v>
      </c>
      <c r="I33" s="1">
        <f t="shared" si="6"/>
        <v>39.74</v>
      </c>
    </row>
    <row r="34" spans="1:9" x14ac:dyDescent="0.3">
      <c r="B34" s="20">
        <f t="shared" si="7"/>
        <v>46270</v>
      </c>
      <c r="C34" s="4">
        <v>0</v>
      </c>
      <c r="D34" s="4">
        <v>0</v>
      </c>
      <c r="E34" s="69" t="s">
        <v>239</v>
      </c>
      <c r="F34" s="7"/>
      <c r="H34" s="60">
        <v>-13.11</v>
      </c>
      <c r="I34" s="1">
        <f t="shared" si="6"/>
        <v>-13.11</v>
      </c>
    </row>
    <row r="35" spans="1:9" x14ac:dyDescent="0.3">
      <c r="B35" s="19" t="s">
        <v>11</v>
      </c>
      <c r="C35" s="2">
        <f>SUM(C28:C34)</f>
        <v>0</v>
      </c>
      <c r="D35" s="2">
        <f>SUM(D28:D34)</f>
        <v>0</v>
      </c>
      <c r="E35" s="69"/>
      <c r="F35" s="7"/>
      <c r="H35" s="61">
        <f t="shared" ref="H35:I35" si="8">SUM(H28:H34)</f>
        <v>-39.670000000000009</v>
      </c>
      <c r="I35" s="2">
        <f t="shared" si="8"/>
        <v>-39.670000000000009</v>
      </c>
    </row>
    <row r="36" spans="1:9" x14ac:dyDescent="0.3">
      <c r="B36" s="19" t="s">
        <v>12</v>
      </c>
      <c r="C36" s="3">
        <f>SUM(C35+C27+C19+C11)</f>
        <v>0</v>
      </c>
      <c r="D36" s="3">
        <f>SUM(D35+D27+D19+D11)</f>
        <v>1120</v>
      </c>
      <c r="E36" s="69"/>
      <c r="F36" s="7"/>
      <c r="H36" s="3">
        <f t="shared" ref="H36:I36" si="9">SUM(H35+H27+H19+H11)</f>
        <v>-39.670000000000009</v>
      </c>
      <c r="I36" s="3">
        <f t="shared" si="9"/>
        <v>-39.670000000000009</v>
      </c>
    </row>
    <row r="37" spans="1:9" x14ac:dyDescent="0.3">
      <c r="B37" s="19" t="s">
        <v>13</v>
      </c>
      <c r="C37" s="1">
        <f>D36+C36</f>
        <v>1120</v>
      </c>
      <c r="E37" s="70"/>
      <c r="F37" s="25"/>
      <c r="H37" s="1">
        <f t="shared" ref="H37:I37" si="10">I36+H36</f>
        <v>-79.340000000000018</v>
      </c>
      <c r="I37" s="1">
        <f t="shared" si="10"/>
        <v>-39.670000000000009</v>
      </c>
    </row>
    <row r="38" spans="1:9" x14ac:dyDescent="0.3">
      <c r="B38" s="26"/>
      <c r="C38" s="36">
        <f>B34+1</f>
        <v>46271</v>
      </c>
      <c r="D38" s="37" t="s">
        <v>14</v>
      </c>
      <c r="E38" s="71"/>
      <c r="F38" s="28"/>
    </row>
    <row r="39" spans="1:9" x14ac:dyDescent="0.3">
      <c r="B39" s="29" t="s">
        <v>15</v>
      </c>
      <c r="C39" s="38">
        <v>1120</v>
      </c>
      <c r="E39" s="69" t="s">
        <v>233</v>
      </c>
      <c r="F39" s="7" t="s">
        <v>234</v>
      </c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C42" s="62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x14ac:dyDescent="0.3">
      <c r="B45" s="33" t="s">
        <v>18</v>
      </c>
      <c r="C45" s="39">
        <v>300</v>
      </c>
      <c r="D45" s="34"/>
      <c r="E45" s="72"/>
      <c r="F45" s="35"/>
    </row>
    <row r="47" spans="1:9" x14ac:dyDescent="0.3">
      <c r="A47" s="41"/>
      <c r="B47" s="42" t="s">
        <v>19</v>
      </c>
      <c r="C47" s="41"/>
      <c r="D47" s="41"/>
      <c r="E47" s="73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9" t="s">
        <v>237</v>
      </c>
      <c r="F48" s="7"/>
      <c r="H48" s="4">
        <v>-5.48</v>
      </c>
      <c r="I48" s="1">
        <f>H48-C48</f>
        <v>-5.48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9" t="s">
        <v>239</v>
      </c>
      <c r="F49" s="7"/>
      <c r="H49" s="4">
        <v>-23.51</v>
      </c>
      <c r="I49" s="1">
        <f t="shared" ref="I49:I54" si="11">H49-C49</f>
        <v>-23.51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9" t="s">
        <v>239</v>
      </c>
      <c r="F50" s="7"/>
      <c r="H50" s="4">
        <v>62.73</v>
      </c>
      <c r="I50" s="1">
        <f t="shared" si="11"/>
        <v>62.73</v>
      </c>
    </row>
    <row r="51" spans="1:9" x14ac:dyDescent="0.3">
      <c r="A51" s="41"/>
      <c r="B51" s="41" t="s">
        <v>24</v>
      </c>
      <c r="C51" s="4">
        <v>0</v>
      </c>
      <c r="D51" s="4">
        <v>1275</v>
      </c>
      <c r="E51" s="69" t="s">
        <v>237</v>
      </c>
      <c r="F51" s="66" t="s">
        <v>240</v>
      </c>
      <c r="H51" s="4">
        <v>9.7899999999999991</v>
      </c>
      <c r="I51" s="1">
        <f t="shared" si="11"/>
        <v>9.7899999999999991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9" t="s">
        <v>241</v>
      </c>
      <c r="F52" s="7"/>
      <c r="H52" s="4">
        <v>-22.53</v>
      </c>
      <c r="I52" s="1">
        <f t="shared" si="11"/>
        <v>-22.53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9" t="s">
        <v>241</v>
      </c>
      <c r="F53" s="7"/>
      <c r="H53" s="4">
        <v>121.46</v>
      </c>
      <c r="I53" s="1">
        <f t="shared" si="11"/>
        <v>121.46</v>
      </c>
    </row>
    <row r="54" spans="1:9" x14ac:dyDescent="0.3">
      <c r="A54" s="41"/>
      <c r="B54" s="41" t="s">
        <v>27</v>
      </c>
      <c r="C54" s="4">
        <v>1120</v>
      </c>
      <c r="D54" s="4">
        <v>0</v>
      </c>
      <c r="E54" s="69" t="s">
        <v>239</v>
      </c>
      <c r="F54" s="66" t="s">
        <v>242</v>
      </c>
      <c r="H54" s="4">
        <v>983</v>
      </c>
      <c r="I54" s="1">
        <f t="shared" si="11"/>
        <v>-137</v>
      </c>
    </row>
    <row r="55" spans="1:9" x14ac:dyDescent="0.3">
      <c r="A55" s="41"/>
      <c r="B55" s="41" t="s">
        <v>29</v>
      </c>
      <c r="C55" s="2">
        <f>SUM(C48:C54)</f>
        <v>1120</v>
      </c>
      <c r="D55" s="2">
        <f>SUM(D48:D54)</f>
        <v>1275</v>
      </c>
      <c r="E55" s="69"/>
      <c r="F55" s="7"/>
      <c r="H55" s="2">
        <f>SUM(H48:H54)</f>
        <v>1125.46</v>
      </c>
      <c r="I55" s="2">
        <f>SUM(I48:I54)</f>
        <v>5.4599999999999795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9" t="s">
        <v>241</v>
      </c>
      <c r="F56" s="7"/>
      <c r="H56" s="4">
        <v>17.510000000000002</v>
      </c>
      <c r="I56" s="1">
        <v>18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9" t="s">
        <v>237</v>
      </c>
      <c r="F57" s="7"/>
      <c r="H57" s="4">
        <v>-66.31</v>
      </c>
      <c r="I57" s="1">
        <f t="shared" ref="I57:I62" si="12">H57-C57</f>
        <v>-66.31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9" t="s">
        <v>239</v>
      </c>
      <c r="F58" s="7"/>
      <c r="H58" s="4">
        <v>54.41</v>
      </c>
      <c r="I58" s="1">
        <f t="shared" si="12"/>
        <v>54.41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9" t="s">
        <v>239</v>
      </c>
      <c r="F59" s="7"/>
      <c r="H59" s="4">
        <v>-10.11</v>
      </c>
      <c r="I59" s="1">
        <f t="shared" si="12"/>
        <v>-10.11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9" t="s">
        <v>239</v>
      </c>
      <c r="F60" s="7"/>
      <c r="H60" s="4">
        <v>-17.66</v>
      </c>
      <c r="I60" s="1">
        <f t="shared" si="12"/>
        <v>-17.66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9" t="s">
        <v>239</v>
      </c>
      <c r="F61" s="7"/>
      <c r="H61" s="4">
        <v>36.869999999999997</v>
      </c>
      <c r="I61" s="1">
        <f t="shared" si="12"/>
        <v>36.869999999999997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9" t="s">
        <v>239</v>
      </c>
      <c r="F62" s="7"/>
      <c r="H62" s="4">
        <v>-15.74</v>
      </c>
      <c r="I62" s="1">
        <f t="shared" si="12"/>
        <v>-15.74</v>
      </c>
    </row>
    <row r="63" spans="1:9" x14ac:dyDescent="0.3">
      <c r="A63" s="41"/>
      <c r="B63" s="41" t="s">
        <v>29</v>
      </c>
      <c r="C63" s="2">
        <f>SUM(C56:C62)</f>
        <v>0</v>
      </c>
      <c r="D63" s="2">
        <f>SUM(D56:D62)</f>
        <v>0</v>
      </c>
      <c r="E63" s="69"/>
      <c r="F63" s="7"/>
      <c r="H63" s="2">
        <f>SUM(H56:H62)</f>
        <v>-1.0300000000000029</v>
      </c>
      <c r="I63" s="2">
        <f>SUM(I56:I62)</f>
        <v>-0.54000000000000803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9" t="s">
        <v>239</v>
      </c>
      <c r="F64" s="7"/>
      <c r="H64" s="4">
        <v>5.17</v>
      </c>
      <c r="I64" s="1">
        <f>H64-C64</f>
        <v>5.17</v>
      </c>
    </row>
    <row r="65" spans="1:9" x14ac:dyDescent="0.3">
      <c r="A65" s="41"/>
      <c r="B65" s="41" t="s">
        <v>39</v>
      </c>
      <c r="C65" s="4"/>
      <c r="D65" s="4">
        <v>0</v>
      </c>
      <c r="E65" s="69" t="s">
        <v>237</v>
      </c>
      <c r="F65" s="66" t="s">
        <v>243</v>
      </c>
      <c r="H65" s="4">
        <v>-92</v>
      </c>
      <c r="I65" s="1">
        <f t="shared" ref="I65:I70" si="13">H65-C65</f>
        <v>-92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9" t="s">
        <v>237</v>
      </c>
      <c r="F66" s="7"/>
      <c r="H66" s="4">
        <v>-20</v>
      </c>
      <c r="I66" s="1">
        <f t="shared" si="13"/>
        <v>-20</v>
      </c>
    </row>
    <row r="67" spans="1:9" x14ac:dyDescent="0.3">
      <c r="A67" s="41"/>
      <c r="B67" s="41" t="s">
        <v>41</v>
      </c>
      <c r="C67" s="4"/>
      <c r="D67" s="4">
        <v>0</v>
      </c>
      <c r="E67" s="69" t="s">
        <v>239</v>
      </c>
      <c r="F67" s="7"/>
      <c r="H67" s="4">
        <v>36.340000000000003</v>
      </c>
      <c r="I67" s="1">
        <f t="shared" si="13"/>
        <v>36.340000000000003</v>
      </c>
    </row>
    <row r="68" spans="1:9" x14ac:dyDescent="0.3">
      <c r="A68" s="41"/>
      <c r="B68" s="41" t="s">
        <v>42</v>
      </c>
      <c r="C68" s="4"/>
      <c r="D68" s="4">
        <v>0</v>
      </c>
      <c r="E68" s="69" t="s">
        <v>239</v>
      </c>
      <c r="F68" s="7"/>
      <c r="H68" s="4">
        <v>-40.119999999999997</v>
      </c>
      <c r="I68" s="1">
        <f t="shared" si="13"/>
        <v>-40.119999999999997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9" t="s">
        <v>239</v>
      </c>
      <c r="F69" s="7"/>
      <c r="H69" s="4">
        <v>54.92</v>
      </c>
      <c r="I69" s="1">
        <f t="shared" si="13"/>
        <v>54.92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9" t="s">
        <v>237</v>
      </c>
      <c r="F70" s="7"/>
      <c r="H70" s="4">
        <v>-59.23</v>
      </c>
      <c r="I70" s="1">
        <f t="shared" si="13"/>
        <v>-59.23</v>
      </c>
    </row>
    <row r="71" spans="1:9" x14ac:dyDescent="0.3">
      <c r="A71" s="41"/>
      <c r="B71" s="41" t="s">
        <v>29</v>
      </c>
      <c r="C71" s="2">
        <f>SUM(C64:C70)</f>
        <v>0</v>
      </c>
      <c r="D71" s="2">
        <f>SUM(D64:D70)</f>
        <v>0</v>
      </c>
      <c r="E71" s="69"/>
      <c r="F71" s="7"/>
      <c r="H71" s="2">
        <f>SUM(H64:H70)</f>
        <v>-114.91999999999999</v>
      </c>
      <c r="I71" s="2">
        <f>SUM(I64:I70)</f>
        <v>-114.91999999999999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9" t="s">
        <v>239</v>
      </c>
      <c r="F72" s="7"/>
      <c r="H72" s="4">
        <v>11.16</v>
      </c>
      <c r="I72" s="1">
        <f>H72-C72</f>
        <v>11.16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9" t="s">
        <v>244</v>
      </c>
      <c r="F73" s="7"/>
      <c r="H73" s="4">
        <v>17.63</v>
      </c>
      <c r="I73" s="1">
        <f t="shared" ref="I73:I78" si="14">H73-C73</f>
        <v>17.63</v>
      </c>
    </row>
    <row r="74" spans="1:9" x14ac:dyDescent="0.3">
      <c r="A74" s="41"/>
      <c r="B74" s="41" t="s">
        <v>48</v>
      </c>
      <c r="C74" s="4">
        <v>0</v>
      </c>
      <c r="D74" s="4">
        <v>1370</v>
      </c>
      <c r="E74" s="69" t="s">
        <v>237</v>
      </c>
      <c r="F74" s="66" t="s">
        <v>245</v>
      </c>
      <c r="H74" s="4">
        <v>41.36</v>
      </c>
      <c r="I74" s="1">
        <f t="shared" si="14"/>
        <v>41.36</v>
      </c>
    </row>
    <row r="75" spans="1:9" x14ac:dyDescent="0.3">
      <c r="A75" s="41"/>
      <c r="B75" s="41" t="s">
        <v>50</v>
      </c>
      <c r="C75" s="4"/>
      <c r="D75" s="4">
        <v>0</v>
      </c>
      <c r="E75" s="69" t="s">
        <v>237</v>
      </c>
      <c r="F75" s="7"/>
      <c r="H75" s="4">
        <v>22.85</v>
      </c>
      <c r="I75" s="1">
        <f t="shared" si="14"/>
        <v>22.85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9" t="s">
        <v>239</v>
      </c>
      <c r="F76" s="7"/>
      <c r="H76" s="4">
        <v>5.28</v>
      </c>
      <c r="I76" s="1">
        <f t="shared" si="14"/>
        <v>5.28</v>
      </c>
    </row>
    <row r="77" spans="1:9" x14ac:dyDescent="0.3">
      <c r="A77" s="41"/>
      <c r="B77" s="41" t="s">
        <v>52</v>
      </c>
      <c r="C77" s="4">
        <v>1275</v>
      </c>
      <c r="D77" s="4">
        <v>0</v>
      </c>
      <c r="E77" s="69" t="s">
        <v>239</v>
      </c>
      <c r="F77" s="66" t="s">
        <v>246</v>
      </c>
      <c r="H77" s="4">
        <v>1314.46</v>
      </c>
      <c r="I77" s="1">
        <f t="shared" si="14"/>
        <v>39.460000000000036</v>
      </c>
    </row>
    <row r="78" spans="1:9" x14ac:dyDescent="0.3">
      <c r="A78" s="41"/>
      <c r="B78" s="41" t="s">
        <v>54</v>
      </c>
      <c r="C78" s="4"/>
      <c r="D78" s="4">
        <v>0</v>
      </c>
      <c r="E78" s="69" t="s">
        <v>239</v>
      </c>
      <c r="F78" s="7"/>
      <c r="H78" s="4">
        <v>-23.74</v>
      </c>
      <c r="I78" s="1">
        <f t="shared" si="14"/>
        <v>-23.74</v>
      </c>
    </row>
    <row r="79" spans="1:9" x14ac:dyDescent="0.3">
      <c r="A79" s="41"/>
      <c r="B79" s="41" t="s">
        <v>11</v>
      </c>
      <c r="C79" s="2">
        <f>SUM(C72:C78)</f>
        <v>1275</v>
      </c>
      <c r="D79" s="2">
        <f>SUM(D72:D78)</f>
        <v>1370</v>
      </c>
      <c r="E79" s="69"/>
      <c r="F79" s="7"/>
      <c r="H79" s="2">
        <f t="shared" ref="H79:I79" si="15">SUM(H72:H78)</f>
        <v>1389</v>
      </c>
      <c r="I79" s="2">
        <f t="shared" si="15"/>
        <v>114.00000000000004</v>
      </c>
    </row>
    <row r="80" spans="1:9" x14ac:dyDescent="0.3">
      <c r="A80" s="41"/>
      <c r="B80" s="41" t="s">
        <v>12</v>
      </c>
      <c r="C80" s="3">
        <f>SUM(C79+C71+C63+C55)</f>
        <v>2395</v>
      </c>
      <c r="D80" s="3">
        <f>SUM(D79+D71+D63+D55)</f>
        <v>2645</v>
      </c>
      <c r="E80" s="69"/>
      <c r="F80" s="7"/>
      <c r="H80" s="3">
        <f t="shared" ref="H80:I80" si="16">SUM(H79+H71+H63+H55)</f>
        <v>2398.5100000000002</v>
      </c>
      <c r="I80" s="3">
        <f t="shared" si="16"/>
        <v>4.0000000000000266</v>
      </c>
    </row>
    <row r="81" spans="1:9" x14ac:dyDescent="0.3">
      <c r="A81" s="41"/>
      <c r="B81" s="41" t="s">
        <v>13</v>
      </c>
      <c r="C81" s="1">
        <f>D80+C80</f>
        <v>5040</v>
      </c>
      <c r="E81" s="70"/>
      <c r="F81" s="25"/>
      <c r="H81" s="1">
        <f t="shared" ref="H81:I81" si="17">I80+H80</f>
        <v>2402.5100000000002</v>
      </c>
      <c r="I81" s="1">
        <f t="shared" si="17"/>
        <v>4.0000000000000266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74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81">
        <v>1370</v>
      </c>
      <c r="D83" s="41"/>
      <c r="E83" s="75" t="s">
        <v>239</v>
      </c>
      <c r="F83" s="7" t="s">
        <v>234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73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73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73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81">
        <v>200</v>
      </c>
      <c r="D87" s="41"/>
      <c r="E87" s="73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73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82">
        <v>300</v>
      </c>
      <c r="D89" s="54" t="s">
        <v>55</v>
      </c>
      <c r="E89" s="76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73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73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9" t="s">
        <v>237</v>
      </c>
      <c r="F92" s="7"/>
      <c r="H92" s="4">
        <v>-41.7</v>
      </c>
      <c r="I92" s="1">
        <f>H92-C92</f>
        <v>-41.7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9" t="s">
        <v>237</v>
      </c>
      <c r="F93" s="7"/>
      <c r="H93" s="4">
        <v>28.86</v>
      </c>
      <c r="I93" s="1">
        <f t="shared" ref="I93:I98" si="18">H93-C93</f>
        <v>28.86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9" t="s">
        <v>237</v>
      </c>
      <c r="F94" s="7"/>
      <c r="H94" s="4">
        <v>14.33</v>
      </c>
      <c r="I94" s="1">
        <f t="shared" si="18"/>
        <v>14.33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9" t="s">
        <v>237</v>
      </c>
      <c r="F95" s="7"/>
      <c r="H95" s="4">
        <v>-25.34</v>
      </c>
      <c r="I95" s="1">
        <f t="shared" si="18"/>
        <v>-25.34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9" t="s">
        <v>239</v>
      </c>
      <c r="F96" s="7"/>
      <c r="H96" s="4">
        <v>23.15</v>
      </c>
      <c r="I96" s="1">
        <f t="shared" si="18"/>
        <v>23.15</v>
      </c>
    </row>
    <row r="97" spans="1:9" x14ac:dyDescent="0.3">
      <c r="A97" s="41"/>
      <c r="B97" s="41" t="s">
        <v>65</v>
      </c>
      <c r="C97" s="4">
        <v>0</v>
      </c>
      <c r="D97" s="4">
        <v>0</v>
      </c>
      <c r="E97" s="69" t="s">
        <v>239</v>
      </c>
      <c r="F97" s="7"/>
      <c r="H97" s="4">
        <v>-11.29</v>
      </c>
      <c r="I97" s="1">
        <f t="shared" si="18"/>
        <v>-11.29</v>
      </c>
    </row>
    <row r="98" spans="1:9" x14ac:dyDescent="0.3">
      <c r="A98" s="41"/>
      <c r="B98" s="41" t="s">
        <v>66</v>
      </c>
      <c r="C98" s="4">
        <v>0</v>
      </c>
      <c r="D98" s="4">
        <v>0</v>
      </c>
      <c r="E98" s="69" t="s">
        <v>237</v>
      </c>
      <c r="F98" s="7"/>
      <c r="H98" s="4">
        <v>-100.8</v>
      </c>
      <c r="I98" s="1">
        <f t="shared" si="18"/>
        <v>-100.8</v>
      </c>
    </row>
    <row r="99" spans="1:9" x14ac:dyDescent="0.3">
      <c r="A99" s="41"/>
      <c r="B99" s="41" t="s">
        <v>29</v>
      </c>
      <c r="C99" s="2">
        <f>SUM(C92:C98)</f>
        <v>0</v>
      </c>
      <c r="D99" s="2">
        <f>SUM(D92:D98)</f>
        <v>0</v>
      </c>
      <c r="E99" s="69"/>
      <c r="F99" s="7"/>
      <c r="H99" s="2">
        <f>SUM(H92:H98)</f>
        <v>-112.78999999999999</v>
      </c>
      <c r="I99" s="2">
        <f>SUM(I92:I98)</f>
        <v>-112.78999999999999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9"/>
      <c r="F100" s="7"/>
      <c r="H100" s="4">
        <v>0</v>
      </c>
      <c r="I100" s="1">
        <f>H100-C100</f>
        <v>0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9"/>
      <c r="F101" s="7"/>
      <c r="H101" s="4">
        <v>0</v>
      </c>
      <c r="I101" s="1">
        <f t="shared" ref="I101:I106" si="19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9"/>
      <c r="F102" s="7"/>
      <c r="H102" s="4">
        <v>0</v>
      </c>
      <c r="I102" s="1">
        <f t="shared" si="19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9"/>
      <c r="F103" s="7"/>
      <c r="H103" s="4">
        <v>0</v>
      </c>
      <c r="I103" s="1">
        <f t="shared" si="19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9"/>
      <c r="F104" s="7"/>
      <c r="H104" s="4">
        <v>0</v>
      </c>
      <c r="I104" s="1">
        <f t="shared" si="19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9"/>
      <c r="F105" s="7"/>
      <c r="H105" s="4">
        <v>0</v>
      </c>
      <c r="I105" s="1">
        <f t="shared" si="19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9"/>
      <c r="F106" s="7"/>
      <c r="H106" s="4">
        <v>0</v>
      </c>
      <c r="I106" s="1">
        <f t="shared" si="19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9"/>
      <c r="F107" s="7"/>
      <c r="H107" s="2">
        <f>SUM(H100:H106)</f>
        <v>0</v>
      </c>
      <c r="I107" s="2">
        <f>SUM(I100:I106)</f>
        <v>0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9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9"/>
      <c r="F109" s="7"/>
      <c r="H109" s="4">
        <v>0</v>
      </c>
      <c r="I109" s="1">
        <f t="shared" ref="I109:I114" si="20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9"/>
      <c r="F110" s="7"/>
      <c r="H110" s="4">
        <v>0</v>
      </c>
      <c r="I110" s="1">
        <f t="shared" si="20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9"/>
      <c r="F111" s="7"/>
      <c r="H111" s="4">
        <v>0</v>
      </c>
      <c r="I111" s="1">
        <f t="shared" si="20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9"/>
      <c r="F112" s="7"/>
      <c r="H112" s="4">
        <v>0</v>
      </c>
      <c r="I112" s="1">
        <f t="shared" si="20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9"/>
      <c r="F113" s="7"/>
      <c r="H113" s="4">
        <v>0</v>
      </c>
      <c r="I113" s="1">
        <f t="shared" si="20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9"/>
      <c r="F114" s="7"/>
      <c r="H114" s="4">
        <v>0</v>
      </c>
      <c r="I114" s="1">
        <f t="shared" si="20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9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9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9"/>
      <c r="F117" s="7"/>
      <c r="H117" s="4">
        <v>0</v>
      </c>
      <c r="I117" s="1">
        <f t="shared" ref="I117:I122" si="21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9"/>
      <c r="F118" s="7"/>
      <c r="H118" s="4">
        <v>0</v>
      </c>
      <c r="I118" s="1">
        <f t="shared" si="21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9"/>
      <c r="F119" s="7"/>
      <c r="H119" s="4">
        <v>0</v>
      </c>
      <c r="I119" s="1">
        <f t="shared" si="21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9"/>
      <c r="F120" s="7"/>
      <c r="H120" s="4">
        <v>0</v>
      </c>
      <c r="I120" s="1">
        <f t="shared" si="21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9"/>
      <c r="F121" s="7"/>
      <c r="H121" s="4">
        <v>0</v>
      </c>
      <c r="I121" s="1">
        <f t="shared" si="21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9"/>
      <c r="F122" s="7"/>
      <c r="H122" s="4">
        <v>0</v>
      </c>
      <c r="I122" s="1">
        <f t="shared" si="21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9"/>
      <c r="F123" s="7"/>
      <c r="H123" s="2">
        <f t="shared" ref="H123:I123" si="22">SUM(H116:H122)</f>
        <v>0</v>
      </c>
      <c r="I123" s="2">
        <f t="shared" si="22"/>
        <v>0</v>
      </c>
    </row>
    <row r="124" spans="1:9" x14ac:dyDescent="0.3">
      <c r="A124" s="41"/>
      <c r="B124" s="41" t="s">
        <v>12</v>
      </c>
      <c r="C124" s="3">
        <f>SUM(C123+C115+C107+C99)</f>
        <v>0</v>
      </c>
      <c r="D124" s="3">
        <f>SUM(D123+D115+D107+D99)</f>
        <v>0</v>
      </c>
      <c r="E124" s="69"/>
      <c r="F124" s="7"/>
      <c r="H124" s="3">
        <f t="shared" ref="H124:I124" si="23">SUM(H123+H115+H107+H99)</f>
        <v>-112.78999999999999</v>
      </c>
      <c r="I124" s="3">
        <f t="shared" si="23"/>
        <v>-112.78999999999999</v>
      </c>
    </row>
    <row r="125" spans="1:9" x14ac:dyDescent="0.3">
      <c r="A125" s="41"/>
      <c r="B125" s="41" t="s">
        <v>13</v>
      </c>
      <c r="C125" s="1">
        <f>D124+C124</f>
        <v>0</v>
      </c>
      <c r="E125" s="70"/>
      <c r="F125" s="25"/>
      <c r="H125" s="1">
        <f t="shared" ref="H125:I125" si="24">I124+H124</f>
        <v>-225.57999999999998</v>
      </c>
      <c r="I125" s="1">
        <f t="shared" si="24"/>
        <v>-112.78999999999999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74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75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73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73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73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73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73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76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73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73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9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9"/>
      <c r="F137" s="7"/>
      <c r="H137" s="4">
        <v>0</v>
      </c>
      <c r="I137" s="1">
        <f t="shared" ref="I137:I142" si="25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9"/>
      <c r="F138" s="7"/>
      <c r="H138" s="4">
        <v>0</v>
      </c>
      <c r="I138" s="1">
        <f t="shared" si="25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9"/>
      <c r="F139" s="7"/>
      <c r="H139" s="4">
        <v>0</v>
      </c>
      <c r="I139" s="1">
        <f t="shared" si="25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9"/>
      <c r="F140" s="7"/>
      <c r="H140" s="4">
        <v>0</v>
      </c>
      <c r="I140" s="1">
        <f t="shared" si="25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9"/>
      <c r="F141" s="7"/>
      <c r="H141" s="4">
        <v>0</v>
      </c>
      <c r="I141" s="1">
        <f t="shared" si="25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9"/>
      <c r="F142" s="7"/>
      <c r="H142" s="4">
        <v>0</v>
      </c>
      <c r="I142" s="1">
        <f t="shared" si="25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9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9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9"/>
      <c r="F145" s="7"/>
      <c r="H145" s="4">
        <v>0</v>
      </c>
      <c r="I145" s="1">
        <f t="shared" ref="I145:I150" si="26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9"/>
      <c r="F146" s="7"/>
      <c r="H146" s="4">
        <v>0</v>
      </c>
      <c r="I146" s="1">
        <f t="shared" si="26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9"/>
      <c r="F147" s="7"/>
      <c r="H147" s="4">
        <v>0</v>
      </c>
      <c r="I147" s="1">
        <f t="shared" si="26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9"/>
      <c r="F148" s="7"/>
      <c r="H148" s="4">
        <v>0</v>
      </c>
      <c r="I148" s="1">
        <f t="shared" si="26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9"/>
      <c r="F149" s="7"/>
      <c r="H149" s="4">
        <v>0</v>
      </c>
      <c r="I149" s="1">
        <f t="shared" si="26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9"/>
      <c r="F150" s="7"/>
      <c r="H150" s="4">
        <v>0</v>
      </c>
      <c r="I150" s="1">
        <f t="shared" si="26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9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9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9"/>
      <c r="F153" s="7"/>
      <c r="H153" s="4">
        <v>0</v>
      </c>
      <c r="I153" s="1">
        <f t="shared" ref="I153:I158" si="27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9"/>
      <c r="F154" s="7"/>
      <c r="H154" s="4">
        <v>0</v>
      </c>
      <c r="I154" s="1">
        <f t="shared" si="27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9"/>
      <c r="F155" s="7"/>
      <c r="H155" s="4">
        <v>0</v>
      </c>
      <c r="I155" s="1">
        <f t="shared" si="27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9"/>
      <c r="F156" s="7"/>
      <c r="H156" s="4">
        <v>0</v>
      </c>
      <c r="I156" s="1">
        <f t="shared" si="27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9"/>
      <c r="F157" s="7"/>
      <c r="H157" s="4">
        <v>0</v>
      </c>
      <c r="I157" s="1">
        <f t="shared" si="27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9"/>
      <c r="F158" s="7"/>
      <c r="H158" s="4">
        <v>0</v>
      </c>
      <c r="I158" s="1">
        <f t="shared" si="27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9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9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9"/>
      <c r="F161" s="7"/>
      <c r="H161" s="4">
        <v>0</v>
      </c>
      <c r="I161" s="1">
        <f t="shared" ref="I161:I166" si="28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9"/>
      <c r="F162" s="7"/>
      <c r="H162" s="4">
        <v>0</v>
      </c>
      <c r="I162" s="1">
        <f t="shared" si="28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9"/>
      <c r="F163" s="7"/>
      <c r="H163" s="4">
        <v>0</v>
      </c>
      <c r="I163" s="1">
        <f t="shared" si="28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9"/>
      <c r="F164" s="7"/>
      <c r="H164" s="4">
        <v>0</v>
      </c>
      <c r="I164" s="1">
        <f t="shared" si="28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9"/>
      <c r="F165" s="7"/>
      <c r="H165" s="4">
        <v>0</v>
      </c>
      <c r="I165" s="1">
        <f t="shared" si="28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9"/>
      <c r="F166" s="7"/>
      <c r="H166" s="4">
        <v>0</v>
      </c>
      <c r="I166" s="1">
        <f t="shared" si="28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9"/>
      <c r="F167" s="7"/>
      <c r="H167" s="2">
        <f t="shared" ref="H167:I167" si="29">SUM(H160:H166)</f>
        <v>0</v>
      </c>
      <c r="I167" s="2">
        <f t="shared" si="29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9"/>
      <c r="F168" s="7"/>
      <c r="H168" s="3">
        <f t="shared" ref="H168:I168" si="30">SUM(H167+H159+H151+H143)</f>
        <v>0</v>
      </c>
      <c r="I168" s="3">
        <f t="shared" si="30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70"/>
      <c r="F169" s="25"/>
      <c r="H169" s="1">
        <f t="shared" ref="H169:I169" si="31">I168+H168</f>
        <v>0</v>
      </c>
      <c r="I169" s="1">
        <f t="shared" si="31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74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75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73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73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73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73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73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76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73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73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9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9"/>
      <c r="F181" s="7"/>
      <c r="H181" s="4">
        <v>0</v>
      </c>
      <c r="I181" s="1">
        <f t="shared" ref="I181:I186" si="32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9"/>
      <c r="F182" s="7"/>
      <c r="H182" s="4">
        <v>0</v>
      </c>
      <c r="I182" s="1">
        <f t="shared" si="32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9"/>
      <c r="F183" s="7"/>
      <c r="H183" s="4">
        <v>0</v>
      </c>
      <c r="I183" s="1">
        <f t="shared" si="32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9"/>
      <c r="F184" s="7"/>
      <c r="H184" s="4">
        <v>0</v>
      </c>
      <c r="I184" s="1">
        <f t="shared" si="32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9"/>
      <c r="F185" s="7"/>
      <c r="H185" s="4">
        <v>0</v>
      </c>
      <c r="I185" s="1">
        <f t="shared" si="32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9"/>
      <c r="F186" s="7"/>
      <c r="H186" s="4">
        <v>0</v>
      </c>
      <c r="I186" s="1">
        <f t="shared" si="32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9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9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9"/>
      <c r="F189" s="7"/>
      <c r="H189" s="4">
        <v>0</v>
      </c>
      <c r="I189" s="1">
        <f t="shared" ref="I189:I194" si="33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9"/>
      <c r="F190" s="7"/>
      <c r="H190" s="4">
        <v>0</v>
      </c>
      <c r="I190" s="1">
        <f t="shared" si="33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9"/>
      <c r="F191" s="7"/>
      <c r="H191" s="4">
        <v>0</v>
      </c>
      <c r="I191" s="1">
        <f t="shared" si="33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9"/>
      <c r="F192" s="7"/>
      <c r="H192" s="4">
        <v>0</v>
      </c>
      <c r="I192" s="1">
        <f t="shared" si="33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9"/>
      <c r="F193" s="7"/>
      <c r="H193" s="4">
        <v>0</v>
      </c>
      <c r="I193" s="1">
        <f t="shared" si="33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9"/>
      <c r="F194" s="7"/>
      <c r="H194" s="4">
        <v>0</v>
      </c>
      <c r="I194" s="1">
        <f t="shared" si="33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9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9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9"/>
      <c r="F197" s="7"/>
      <c r="H197" s="4">
        <v>0</v>
      </c>
      <c r="I197" s="1">
        <f t="shared" ref="I197:I202" si="34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9"/>
      <c r="F198" s="7"/>
      <c r="H198" s="4">
        <v>0</v>
      </c>
      <c r="I198" s="1">
        <f t="shared" si="34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9"/>
      <c r="F199" s="7"/>
      <c r="H199" s="4">
        <v>0</v>
      </c>
      <c r="I199" s="1">
        <f t="shared" si="34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9"/>
      <c r="F200" s="7"/>
      <c r="H200" s="4">
        <v>0</v>
      </c>
      <c r="I200" s="1">
        <f t="shared" si="34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9"/>
      <c r="F201" s="7"/>
      <c r="H201" s="4">
        <v>0</v>
      </c>
      <c r="I201" s="1">
        <f t="shared" si="34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9"/>
      <c r="F202" s="7"/>
      <c r="H202" s="4">
        <v>0</v>
      </c>
      <c r="I202" s="1">
        <f t="shared" si="34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9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9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9"/>
      <c r="F205" s="7"/>
      <c r="H205" s="4">
        <v>0</v>
      </c>
      <c r="I205" s="1">
        <f t="shared" ref="I205:I210" si="35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9"/>
      <c r="F206" s="7"/>
      <c r="H206" s="4">
        <v>0</v>
      </c>
      <c r="I206" s="1">
        <f t="shared" si="35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9"/>
      <c r="F207" s="7"/>
      <c r="H207" s="4">
        <v>0</v>
      </c>
      <c r="I207" s="1">
        <f t="shared" si="35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9"/>
      <c r="F208" s="7"/>
      <c r="H208" s="4">
        <v>0</v>
      </c>
      <c r="I208" s="1">
        <f t="shared" si="35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9"/>
      <c r="F209" s="7"/>
      <c r="H209" s="4">
        <v>0</v>
      </c>
      <c r="I209" s="1">
        <f t="shared" si="35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9"/>
      <c r="F210" s="7"/>
      <c r="H210" s="4">
        <v>0</v>
      </c>
      <c r="I210" s="1">
        <f t="shared" si="35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9"/>
      <c r="F211" s="7"/>
      <c r="H211" s="2">
        <f t="shared" ref="H211:I211" si="36">SUM(H204:H210)</f>
        <v>0</v>
      </c>
      <c r="I211" s="2">
        <f t="shared" si="36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9"/>
      <c r="F212" s="7"/>
      <c r="H212" s="3">
        <f t="shared" ref="H212:I212" si="37">SUM(H211+H203+H195+H187)</f>
        <v>0</v>
      </c>
      <c r="I212" s="3">
        <f t="shared" si="37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70"/>
      <c r="F213" s="25"/>
      <c r="H213" s="1">
        <f t="shared" ref="H213:I213" si="38">I212+H212</f>
        <v>0</v>
      </c>
      <c r="I213" s="1">
        <f t="shared" si="38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74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75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73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73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73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73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73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76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73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C07A7-3F34-4359-8FDA-08309A2CF385}">
  <sheetPr codeName="Sheet9"/>
  <dimension ref="A1:I222"/>
  <sheetViews>
    <sheetView showGridLines="0" workbookViewId="0">
      <pane xSplit="2" ySplit="3" topLeftCell="C85" activePane="bottomRight" state="frozen"/>
      <selection pane="topRight" activeCell="C23" sqref="C23"/>
      <selection pane="bottomLeft" activeCell="C23" sqref="C23"/>
      <selection pane="bottomRight" activeCell="K68" sqref="K68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  <col min="8" max="8" width="8.88671875" bestFit="1" customWidth="1"/>
  </cols>
  <sheetData>
    <row r="1" spans="2:9" ht="18.75" customHeight="1" x14ac:dyDescent="0.3">
      <c r="B1" s="15"/>
      <c r="C1" s="14" t="s">
        <v>247</v>
      </c>
      <c r="D1" s="14"/>
    </row>
    <row r="2" spans="2:9" x14ac:dyDescent="0.3">
      <c r="C2" s="5" t="s">
        <v>1</v>
      </c>
      <c r="D2" s="5"/>
    </row>
    <row r="3" spans="2:9" ht="86.4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4095</v>
      </c>
      <c r="E4" s="6" t="s">
        <v>248</v>
      </c>
      <c r="F4" s="7" t="s">
        <v>249</v>
      </c>
      <c r="H4" s="4">
        <f t="shared" ref="H4:H10" si="0">C4</f>
        <v>0</v>
      </c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 t="s">
        <v>250</v>
      </c>
      <c r="H5" s="4">
        <f t="shared" si="0"/>
        <v>0</v>
      </c>
      <c r="I5" s="1">
        <f t="shared" ref="I5:I10" si="1">H5-C5</f>
        <v>0</v>
      </c>
    </row>
    <row r="6" spans="2:9" x14ac:dyDescent="0.3">
      <c r="B6" s="20">
        <f t="shared" ref="B6:B10" si="2">B5+1</f>
        <v>46245</v>
      </c>
      <c r="C6" s="4">
        <v>0</v>
      </c>
      <c r="D6" s="4">
        <v>0</v>
      </c>
      <c r="E6" s="6"/>
      <c r="F6" s="7"/>
      <c r="H6" s="4">
        <f t="shared" si="0"/>
        <v>0</v>
      </c>
      <c r="I6" s="1">
        <f t="shared" si="1"/>
        <v>0</v>
      </c>
    </row>
    <row r="7" spans="2:9" x14ac:dyDescent="0.3">
      <c r="B7" s="20">
        <f t="shared" si="2"/>
        <v>46246</v>
      </c>
      <c r="C7" s="4">
        <v>0</v>
      </c>
      <c r="D7" s="4">
        <v>0</v>
      </c>
      <c r="E7" s="6"/>
      <c r="F7" s="7"/>
      <c r="H7" s="4">
        <f t="shared" si="0"/>
        <v>0</v>
      </c>
      <c r="I7" s="1">
        <f t="shared" si="1"/>
        <v>0</v>
      </c>
    </row>
    <row r="8" spans="2:9" x14ac:dyDescent="0.3">
      <c r="B8" s="20">
        <f t="shared" si="2"/>
        <v>46247</v>
      </c>
      <c r="C8" s="4">
        <v>0</v>
      </c>
      <c r="D8" s="4">
        <v>0</v>
      </c>
      <c r="E8" s="6"/>
      <c r="F8" s="7"/>
      <c r="H8" s="4">
        <f t="shared" si="0"/>
        <v>0</v>
      </c>
      <c r="I8" s="1">
        <f t="shared" si="1"/>
        <v>0</v>
      </c>
    </row>
    <row r="9" spans="2:9" x14ac:dyDescent="0.3">
      <c r="B9" s="20">
        <f t="shared" si="2"/>
        <v>46248</v>
      </c>
      <c r="C9" s="4">
        <v>0</v>
      </c>
      <c r="D9" s="4">
        <v>0</v>
      </c>
      <c r="E9" s="6"/>
      <c r="F9" s="7"/>
      <c r="H9" s="4">
        <f t="shared" si="0"/>
        <v>0</v>
      </c>
      <c r="I9" s="1">
        <f t="shared" si="1"/>
        <v>0</v>
      </c>
    </row>
    <row r="10" spans="2:9" ht="15" thickBot="1" x14ac:dyDescent="0.35">
      <c r="B10" s="20">
        <f t="shared" si="2"/>
        <v>46249</v>
      </c>
      <c r="C10" s="4">
        <v>0</v>
      </c>
      <c r="D10" s="4">
        <v>0</v>
      </c>
      <c r="E10" s="6"/>
      <c r="F10" s="7"/>
      <c r="H10" s="4">
        <f t="shared" si="0"/>
        <v>0</v>
      </c>
      <c r="I10" s="1">
        <f t="shared" si="1"/>
        <v>0</v>
      </c>
    </row>
    <row r="11" spans="2:9" x14ac:dyDescent="0.3">
      <c r="B11" s="21" t="s">
        <v>11</v>
      </c>
      <c r="C11" s="2">
        <f>SUM(C4:C10)</f>
        <v>0</v>
      </c>
      <c r="D11" s="2">
        <f>SUM(D4:D10)</f>
        <v>4095</v>
      </c>
      <c r="E11" s="6"/>
      <c r="F11" s="7"/>
      <c r="H11" s="2">
        <f>SUM(H4:H10)</f>
        <v>0</v>
      </c>
      <c r="I11" s="2">
        <f>SUM(I4:I10)</f>
        <v>0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>
        <f t="shared" ref="H12:H16" si="3">C12</f>
        <v>0</v>
      </c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>
        <f t="shared" si="3"/>
        <v>0</v>
      </c>
      <c r="I13" s="1">
        <f t="shared" ref="I13:I18" si="4">H13-C13</f>
        <v>0</v>
      </c>
    </row>
    <row r="14" spans="2:9" x14ac:dyDescent="0.3">
      <c r="B14" s="20">
        <f t="shared" ref="B14:B18" si="5">B13+1</f>
        <v>46252</v>
      </c>
      <c r="C14" s="4">
        <v>0</v>
      </c>
      <c r="D14" s="4">
        <v>0</v>
      </c>
      <c r="E14" s="6"/>
      <c r="F14" s="7"/>
      <c r="H14" s="4">
        <f t="shared" si="3"/>
        <v>0</v>
      </c>
      <c r="I14" s="1">
        <f t="shared" si="4"/>
        <v>0</v>
      </c>
    </row>
    <row r="15" spans="2:9" x14ac:dyDescent="0.3">
      <c r="B15" s="20">
        <f t="shared" si="5"/>
        <v>46253</v>
      </c>
      <c r="C15" s="4">
        <v>0</v>
      </c>
      <c r="D15" s="4">
        <v>0</v>
      </c>
      <c r="E15" s="6"/>
      <c r="F15" s="7"/>
      <c r="H15" s="4">
        <f t="shared" si="3"/>
        <v>0</v>
      </c>
      <c r="I15" s="1">
        <f t="shared" si="4"/>
        <v>0</v>
      </c>
    </row>
    <row r="16" spans="2:9" x14ac:dyDescent="0.3">
      <c r="B16" s="20">
        <f t="shared" si="5"/>
        <v>46254</v>
      </c>
      <c r="C16" s="4">
        <v>0</v>
      </c>
      <c r="D16" s="4">
        <v>0</v>
      </c>
      <c r="E16" s="6"/>
      <c r="F16" s="7"/>
      <c r="H16" s="4">
        <f t="shared" si="3"/>
        <v>0</v>
      </c>
      <c r="I16" s="1">
        <f t="shared" si="4"/>
        <v>0</v>
      </c>
    </row>
    <row r="17" spans="2:9" x14ac:dyDescent="0.3">
      <c r="B17" s="20">
        <f t="shared" si="5"/>
        <v>46255</v>
      </c>
      <c r="C17" s="4">
        <v>1695</v>
      </c>
      <c r="D17" s="4">
        <v>0</v>
      </c>
      <c r="E17" s="6" t="s">
        <v>248</v>
      </c>
      <c r="F17" s="7"/>
      <c r="H17" s="4">
        <f>C17</f>
        <v>1695</v>
      </c>
      <c r="I17" s="1">
        <f t="shared" si="4"/>
        <v>0</v>
      </c>
    </row>
    <row r="18" spans="2:9" ht="15" thickBot="1" x14ac:dyDescent="0.35">
      <c r="B18" s="20">
        <f t="shared" si="5"/>
        <v>46256</v>
      </c>
      <c r="C18" s="4">
        <v>0</v>
      </c>
      <c r="D18" s="4">
        <v>0</v>
      </c>
      <c r="E18" s="6"/>
      <c r="F18" s="7"/>
      <c r="H18" s="4">
        <f t="shared" ref="H18" si="6">C18</f>
        <v>0</v>
      </c>
      <c r="I18" s="1">
        <f t="shared" si="4"/>
        <v>0</v>
      </c>
    </row>
    <row r="19" spans="2:9" x14ac:dyDescent="0.3">
      <c r="B19" s="21" t="s">
        <v>11</v>
      </c>
      <c r="C19" s="2">
        <f>SUM(C12:C18)</f>
        <v>1695</v>
      </c>
      <c r="D19" s="2">
        <f>SUM(D12:D18)</f>
        <v>0</v>
      </c>
      <c r="E19" s="6"/>
      <c r="F19" s="7"/>
      <c r="H19" s="2">
        <f>SUM(H12:H18)</f>
        <v>1695</v>
      </c>
      <c r="I19" s="2">
        <f>SUM(I12:I18)</f>
        <v>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>
        <f t="shared" ref="H20:H26" si="7">C20</f>
        <v>0</v>
      </c>
      <c r="I20" s="1">
        <f>H20-C20</f>
        <v>0</v>
      </c>
    </row>
    <row r="21" spans="2:9" x14ac:dyDescent="0.3">
      <c r="B21" s="20">
        <f>B20+1</f>
        <v>46258</v>
      </c>
      <c r="C21" s="4">
        <v>0</v>
      </c>
      <c r="D21" s="4">
        <v>1500</v>
      </c>
      <c r="E21" s="6" t="s">
        <v>251</v>
      </c>
      <c r="F21" s="7"/>
      <c r="H21" s="4">
        <f t="shared" si="7"/>
        <v>0</v>
      </c>
      <c r="I21" s="1">
        <f t="shared" ref="I21:I26" si="8">H21-C21</f>
        <v>0</v>
      </c>
    </row>
    <row r="22" spans="2:9" x14ac:dyDescent="0.3">
      <c r="B22" s="20">
        <f t="shared" ref="B22:B26" si="9">B21+1</f>
        <v>46259</v>
      </c>
      <c r="C22" s="4">
        <v>0</v>
      </c>
      <c r="D22" s="4">
        <v>0</v>
      </c>
      <c r="E22" s="6"/>
      <c r="F22" s="7"/>
      <c r="H22" s="4">
        <f t="shared" si="7"/>
        <v>0</v>
      </c>
      <c r="I22" s="1">
        <f t="shared" si="8"/>
        <v>0</v>
      </c>
    </row>
    <row r="23" spans="2:9" x14ac:dyDescent="0.3">
      <c r="B23" s="20">
        <f t="shared" si="9"/>
        <v>46260</v>
      </c>
      <c r="C23" s="4">
        <v>2000</v>
      </c>
      <c r="D23" s="4">
        <v>0</v>
      </c>
      <c r="E23" s="6"/>
      <c r="F23" s="7"/>
      <c r="H23" s="4">
        <f t="shared" si="7"/>
        <v>2000</v>
      </c>
      <c r="I23" s="1">
        <f t="shared" si="8"/>
        <v>0</v>
      </c>
    </row>
    <row r="24" spans="2:9" x14ac:dyDescent="0.3">
      <c r="B24" s="20">
        <f t="shared" si="9"/>
        <v>46261</v>
      </c>
      <c r="C24" s="4">
        <v>0</v>
      </c>
      <c r="D24" s="4">
        <v>0</v>
      </c>
      <c r="E24" s="6"/>
      <c r="F24" s="7"/>
      <c r="H24" s="4">
        <f t="shared" si="7"/>
        <v>0</v>
      </c>
      <c r="I24" s="1">
        <f t="shared" si="8"/>
        <v>0</v>
      </c>
    </row>
    <row r="25" spans="2:9" x14ac:dyDescent="0.3">
      <c r="B25" s="20">
        <f t="shared" si="9"/>
        <v>46262</v>
      </c>
      <c r="C25" s="4">
        <v>0</v>
      </c>
      <c r="D25" s="4">
        <v>0</v>
      </c>
      <c r="E25" s="6"/>
      <c r="F25" s="7"/>
      <c r="H25" s="4">
        <f t="shared" si="7"/>
        <v>0</v>
      </c>
      <c r="I25" s="1">
        <f t="shared" si="8"/>
        <v>0</v>
      </c>
    </row>
    <row r="26" spans="2:9" ht="15" thickBot="1" x14ac:dyDescent="0.35">
      <c r="B26" s="20">
        <f t="shared" si="9"/>
        <v>46263</v>
      </c>
      <c r="C26" s="4">
        <v>400</v>
      </c>
      <c r="D26" s="4">
        <v>0</v>
      </c>
      <c r="E26" s="6"/>
      <c r="F26" s="7"/>
      <c r="H26" s="4">
        <f t="shared" si="7"/>
        <v>400</v>
      </c>
      <c r="I26" s="1">
        <f t="shared" si="8"/>
        <v>0</v>
      </c>
    </row>
    <row r="27" spans="2:9" x14ac:dyDescent="0.3">
      <c r="B27" s="21" t="s">
        <v>11</v>
      </c>
      <c r="C27" s="2">
        <f>SUM(C20:C26)</f>
        <v>2400</v>
      </c>
      <c r="D27" s="2">
        <f>SUM(D20:D26)</f>
        <v>1500</v>
      </c>
      <c r="E27" s="6"/>
      <c r="F27" s="7"/>
      <c r="H27" s="2">
        <f>SUM(H20:H26)</f>
        <v>2400</v>
      </c>
      <c r="I27" s="2">
        <f>SUM(I20:I26)</f>
        <v>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>
        <f t="shared" ref="H28:H29" si="10">C28</f>
        <v>0</v>
      </c>
      <c r="I28" s="1">
        <f>H28-C28</f>
        <v>0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>
        <f t="shared" si="10"/>
        <v>0</v>
      </c>
      <c r="I29" s="1">
        <f t="shared" ref="I29:I34" si="11">H29-C29</f>
        <v>0</v>
      </c>
    </row>
    <row r="30" spans="2:9" x14ac:dyDescent="0.3">
      <c r="B30" s="20">
        <f t="shared" ref="B30:B34" si="12">B29+1</f>
        <v>46266</v>
      </c>
      <c r="C30" s="4">
        <v>0</v>
      </c>
      <c r="D30" s="4">
        <v>2900</v>
      </c>
      <c r="E30" s="6" t="s">
        <v>251</v>
      </c>
      <c r="F30" s="7"/>
      <c r="H30" s="4">
        <v>-35</v>
      </c>
      <c r="I30" s="1">
        <f t="shared" si="11"/>
        <v>-35</v>
      </c>
    </row>
    <row r="31" spans="2:9" x14ac:dyDescent="0.3">
      <c r="B31" s="20">
        <f t="shared" si="12"/>
        <v>46267</v>
      </c>
      <c r="C31" s="4">
        <v>0</v>
      </c>
      <c r="D31" s="4">
        <v>0</v>
      </c>
      <c r="E31" s="6"/>
      <c r="F31" s="7"/>
      <c r="H31" s="4">
        <v>109</v>
      </c>
      <c r="I31" s="1">
        <f t="shared" si="11"/>
        <v>109</v>
      </c>
    </row>
    <row r="32" spans="2:9" x14ac:dyDescent="0.3">
      <c r="B32" s="20">
        <f t="shared" si="12"/>
        <v>46268</v>
      </c>
      <c r="C32" s="4">
        <v>0</v>
      </c>
      <c r="D32" s="4">
        <v>0</v>
      </c>
      <c r="E32" s="6"/>
      <c r="F32" s="7"/>
      <c r="H32" s="4">
        <v>2083</v>
      </c>
      <c r="I32" s="1">
        <f t="shared" si="11"/>
        <v>2083</v>
      </c>
    </row>
    <row r="33" spans="1:9" x14ac:dyDescent="0.3">
      <c r="B33" s="20">
        <f t="shared" si="12"/>
        <v>46269</v>
      </c>
      <c r="C33" s="4">
        <v>0</v>
      </c>
      <c r="D33" s="4">
        <v>0</v>
      </c>
      <c r="E33" s="6"/>
      <c r="F33" s="7"/>
      <c r="H33" s="4">
        <v>-21</v>
      </c>
      <c r="I33" s="1">
        <f t="shared" si="11"/>
        <v>-21</v>
      </c>
    </row>
    <row r="34" spans="1:9" ht="15" thickBot="1" x14ac:dyDescent="0.35">
      <c r="B34" s="20">
        <f t="shared" si="12"/>
        <v>46270</v>
      </c>
      <c r="C34" s="4">
        <v>0</v>
      </c>
      <c r="D34" s="4">
        <v>0</v>
      </c>
      <c r="E34" s="6"/>
      <c r="F34" s="7"/>
      <c r="H34" s="4">
        <v>71</v>
      </c>
      <c r="I34" s="1">
        <f t="shared" si="11"/>
        <v>71</v>
      </c>
    </row>
    <row r="35" spans="1:9" x14ac:dyDescent="0.3">
      <c r="B35" s="19" t="s">
        <v>11</v>
      </c>
      <c r="C35" s="2">
        <f>SUM(C28:C34)</f>
        <v>0</v>
      </c>
      <c r="D35" s="2">
        <f>SUM(D28:D34)</f>
        <v>2900</v>
      </c>
      <c r="E35" s="6"/>
      <c r="F35" s="7"/>
      <c r="H35" s="2">
        <f t="shared" ref="H35:I35" si="13">SUM(H28:H34)</f>
        <v>2207</v>
      </c>
      <c r="I35" s="2">
        <f t="shared" si="13"/>
        <v>2207</v>
      </c>
    </row>
    <row r="36" spans="1:9" x14ac:dyDescent="0.3">
      <c r="B36" s="19" t="s">
        <v>12</v>
      </c>
      <c r="C36" s="3">
        <f>SUM(C35+C27+C19+C11)</f>
        <v>4095</v>
      </c>
      <c r="D36" s="3">
        <f>SUM(D35+D27+D19+D11)</f>
        <v>8495</v>
      </c>
      <c r="E36" s="6"/>
      <c r="F36" s="7"/>
      <c r="H36" s="3">
        <f t="shared" ref="H36:I36" si="14">SUM(H35+H27+H19+H11)</f>
        <v>6302</v>
      </c>
      <c r="I36" s="3">
        <f t="shared" si="14"/>
        <v>2207</v>
      </c>
    </row>
    <row r="37" spans="1:9" ht="15" thickBot="1" x14ac:dyDescent="0.35">
      <c r="B37" s="19" t="s">
        <v>13</v>
      </c>
      <c r="C37" s="1">
        <f>D36+C36</f>
        <v>12590</v>
      </c>
      <c r="E37" s="24" t="s">
        <v>248</v>
      </c>
      <c r="F37" s="25"/>
      <c r="H37" s="1">
        <f t="shared" ref="H37:I37" si="15">I36+H36</f>
        <v>8509</v>
      </c>
      <c r="I37" s="1">
        <f t="shared" si="15"/>
        <v>2207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4400</v>
      </c>
      <c r="E39" s="6" t="s">
        <v>248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>
        <v>4400</v>
      </c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248</v>
      </c>
      <c r="F48" s="7"/>
      <c r="H48" s="4"/>
      <c r="I48" s="1">
        <f>H48-C48</f>
        <v>0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252</v>
      </c>
      <c r="F49" s="7"/>
      <c r="H49" s="4">
        <v>-23.76</v>
      </c>
      <c r="I49" s="1">
        <f>H49-C49</f>
        <v>-23.76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252</v>
      </c>
      <c r="F50" s="7"/>
      <c r="H50" s="4">
        <v>-0.87</v>
      </c>
      <c r="I50" s="1">
        <f t="shared" ref="I50:I54" si="16">H50-C50</f>
        <v>-0.87</v>
      </c>
    </row>
    <row r="51" spans="1:9" x14ac:dyDescent="0.3">
      <c r="A51" s="41"/>
      <c r="B51" s="41" t="s">
        <v>24</v>
      </c>
      <c r="C51" s="4">
        <v>1500</v>
      </c>
      <c r="D51" s="4">
        <v>0</v>
      </c>
      <c r="E51" s="6" t="s">
        <v>248</v>
      </c>
      <c r="F51" s="7"/>
      <c r="H51" s="4">
        <v>1502</v>
      </c>
      <c r="I51" s="1">
        <f t="shared" si="16"/>
        <v>2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 t="s">
        <v>248</v>
      </c>
      <c r="F52" s="7"/>
      <c r="H52" s="4">
        <v>0.28000000000000003</v>
      </c>
      <c r="I52" s="1">
        <f t="shared" si="16"/>
        <v>0.28000000000000003</v>
      </c>
    </row>
    <row r="53" spans="1:9" x14ac:dyDescent="0.3">
      <c r="A53" s="41"/>
      <c r="B53" s="41" t="s">
        <v>26</v>
      </c>
      <c r="C53" s="4">
        <v>0</v>
      </c>
      <c r="D53" s="4">
        <v>2900</v>
      </c>
      <c r="E53" s="6" t="s">
        <v>248</v>
      </c>
      <c r="F53" s="7" t="s">
        <v>62</v>
      </c>
      <c r="H53" s="4">
        <v>38.770000000000003</v>
      </c>
      <c r="I53" s="1">
        <f t="shared" si="16"/>
        <v>38.770000000000003</v>
      </c>
    </row>
    <row r="54" spans="1:9" x14ac:dyDescent="0.3">
      <c r="A54" s="41"/>
      <c r="B54" s="41" t="s">
        <v>27</v>
      </c>
      <c r="C54" s="4">
        <v>1000</v>
      </c>
      <c r="D54" s="4">
        <v>0</v>
      </c>
      <c r="E54" s="6" t="s">
        <v>248</v>
      </c>
      <c r="F54" s="7"/>
      <c r="H54" s="4">
        <v>1001</v>
      </c>
      <c r="I54" s="1">
        <f t="shared" si="16"/>
        <v>1</v>
      </c>
    </row>
    <row r="55" spans="1:9" x14ac:dyDescent="0.3">
      <c r="A55" s="41"/>
      <c r="B55" s="41" t="s">
        <v>29</v>
      </c>
      <c r="C55" s="2">
        <f>SUM(C48:C54)</f>
        <v>2500</v>
      </c>
      <c r="D55" s="2">
        <f>SUM(D48:D54)</f>
        <v>2900</v>
      </c>
      <c r="E55" s="6"/>
      <c r="F55" s="7"/>
      <c r="H55" s="2">
        <f>SUM(H48:H54)</f>
        <v>2517.42</v>
      </c>
      <c r="I55" s="2">
        <f>SUM(I48:I54)</f>
        <v>17.420000000000002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252</v>
      </c>
      <c r="F56" s="7" t="s">
        <v>253</v>
      </c>
      <c r="H56" s="4">
        <v>-2.4900000000000002</v>
      </c>
      <c r="I56" s="1">
        <f>H56-C56</f>
        <v>-2.4900000000000002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252</v>
      </c>
      <c r="F57" s="7" t="s">
        <v>254</v>
      </c>
      <c r="H57" s="4">
        <v>-4</v>
      </c>
      <c r="I57" s="1">
        <f t="shared" ref="I57:I62" si="17">H57-C57</f>
        <v>-4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" t="s">
        <v>252</v>
      </c>
      <c r="F58" s="7" t="s">
        <v>255</v>
      </c>
      <c r="H58" s="4">
        <v>5.71</v>
      </c>
      <c r="I58" s="1">
        <f t="shared" si="17"/>
        <v>5.71</v>
      </c>
    </row>
    <row r="59" spans="1:9" x14ac:dyDescent="0.3">
      <c r="A59" s="41"/>
      <c r="B59" s="41" t="s">
        <v>34</v>
      </c>
      <c r="C59" s="4">
        <v>800</v>
      </c>
      <c r="D59" s="4">
        <v>0</v>
      </c>
      <c r="E59" s="6" t="s">
        <v>248</v>
      </c>
      <c r="F59" s="7" t="s">
        <v>256</v>
      </c>
      <c r="H59" s="4">
        <v>806.77</v>
      </c>
      <c r="I59" s="1">
        <f t="shared" si="17"/>
        <v>6.7699999999999818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248</v>
      </c>
      <c r="F60" s="7" t="s">
        <v>257</v>
      </c>
      <c r="H60" s="4">
        <v>-15.17</v>
      </c>
      <c r="I60" s="1">
        <f t="shared" si="17"/>
        <v>-15.17</v>
      </c>
    </row>
    <row r="61" spans="1:9" x14ac:dyDescent="0.3">
      <c r="A61" s="41"/>
      <c r="B61" s="41" t="s">
        <v>36</v>
      </c>
      <c r="C61" s="4">
        <v>400</v>
      </c>
      <c r="D61" s="4">
        <v>0</v>
      </c>
      <c r="E61" s="6" t="s">
        <v>248</v>
      </c>
      <c r="F61" s="7" t="s">
        <v>258</v>
      </c>
      <c r="H61" s="4">
        <v>472</v>
      </c>
      <c r="I61" s="1">
        <f t="shared" si="17"/>
        <v>72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248</v>
      </c>
      <c r="F62" s="7" t="s">
        <v>259</v>
      </c>
      <c r="H62" s="4">
        <v>21</v>
      </c>
      <c r="I62" s="1">
        <f t="shared" si="17"/>
        <v>21</v>
      </c>
    </row>
    <row r="63" spans="1:9" x14ac:dyDescent="0.3">
      <c r="A63" s="41"/>
      <c r="B63" s="41" t="s">
        <v>29</v>
      </c>
      <c r="C63" s="2">
        <f>SUM(C56:C62)</f>
        <v>1200</v>
      </c>
      <c r="D63" s="2">
        <f>SUM(D56:D62)</f>
        <v>0</v>
      </c>
      <c r="E63" s="6"/>
      <c r="F63" s="7"/>
      <c r="H63" s="2">
        <f>SUM(H56:H62)</f>
        <v>1283.8200000000002</v>
      </c>
      <c r="I63" s="2">
        <f>SUM(I56:I62)</f>
        <v>83.819999999999979</v>
      </c>
    </row>
    <row r="64" spans="1:9" x14ac:dyDescent="0.3">
      <c r="A64" s="41"/>
      <c r="B64" s="41" t="s">
        <v>38</v>
      </c>
      <c r="C64" s="4">
        <v>700</v>
      </c>
      <c r="D64" s="4">
        <v>0</v>
      </c>
      <c r="E64" s="6" t="s">
        <v>252</v>
      </c>
      <c r="F64" s="7" t="s">
        <v>260</v>
      </c>
      <c r="H64" s="4">
        <v>684</v>
      </c>
      <c r="I64" s="1">
        <f>H64-C64</f>
        <v>-16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252</v>
      </c>
      <c r="F65" s="7" t="s">
        <v>261</v>
      </c>
      <c r="H65" s="4">
        <v>-11.35</v>
      </c>
      <c r="I65" s="1">
        <f t="shared" ref="I65:I70" si="18">H65-C65</f>
        <v>-11.35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248</v>
      </c>
      <c r="F66" s="7" t="s">
        <v>262</v>
      </c>
      <c r="H66" s="4">
        <v>-34.5</v>
      </c>
      <c r="I66" s="1">
        <f t="shared" si="18"/>
        <v>-34.5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248</v>
      </c>
      <c r="F67" s="7" t="s">
        <v>263</v>
      </c>
      <c r="H67" s="4">
        <v>25.43</v>
      </c>
      <c r="I67" s="1">
        <f t="shared" si="18"/>
        <v>25.43</v>
      </c>
    </row>
    <row r="68" spans="1:9" x14ac:dyDescent="0.3">
      <c r="A68" s="41"/>
      <c r="B68" s="41" t="s">
        <v>42</v>
      </c>
      <c r="C68" s="4">
        <v>440</v>
      </c>
      <c r="D68" s="4">
        <v>440</v>
      </c>
      <c r="E68" s="6" t="s">
        <v>248</v>
      </c>
      <c r="F68" s="7" t="s">
        <v>264</v>
      </c>
      <c r="H68" s="4">
        <v>440.54</v>
      </c>
      <c r="I68" s="1">
        <f t="shared" si="18"/>
        <v>0.54000000000002046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248</v>
      </c>
      <c r="F69" s="7" t="s">
        <v>265</v>
      </c>
      <c r="H69" s="4">
        <v>30.13</v>
      </c>
      <c r="I69" s="1">
        <f t="shared" si="18"/>
        <v>30.13</v>
      </c>
    </row>
    <row r="70" spans="1:9" x14ac:dyDescent="0.3">
      <c r="A70" s="41"/>
      <c r="B70" s="41" t="s">
        <v>45</v>
      </c>
      <c r="C70" s="4">
        <v>1150</v>
      </c>
      <c r="D70" s="4">
        <v>0</v>
      </c>
      <c r="E70" s="6" t="s">
        <v>248</v>
      </c>
      <c r="F70" s="7" t="s">
        <v>260</v>
      </c>
      <c r="H70" s="4">
        <v>1155.8499999999999</v>
      </c>
      <c r="I70" s="1">
        <f t="shared" si="18"/>
        <v>5.8499999999999091</v>
      </c>
    </row>
    <row r="71" spans="1:9" x14ac:dyDescent="0.3">
      <c r="A71" s="41"/>
      <c r="B71" s="41" t="s">
        <v>29</v>
      </c>
      <c r="C71" s="2">
        <f>SUM(C64:C70)</f>
        <v>2290</v>
      </c>
      <c r="D71" s="2">
        <f>SUM(D64:D70)</f>
        <v>440</v>
      </c>
      <c r="E71" s="6"/>
      <c r="F71" s="7"/>
      <c r="H71" s="2">
        <f>SUM(H64:H70)</f>
        <v>2290.1</v>
      </c>
      <c r="I71" s="2">
        <f>SUM(I64:I70)</f>
        <v>9.9999999999926814E-2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252</v>
      </c>
      <c r="F72" s="7" t="s">
        <v>266</v>
      </c>
      <c r="H72" s="4">
        <v>-24.1</v>
      </c>
      <c r="I72" s="1">
        <f>H72-C72</f>
        <v>-24.1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252</v>
      </c>
      <c r="F73" s="7" t="s">
        <v>267</v>
      </c>
      <c r="H73" s="4">
        <v>-15.31</v>
      </c>
      <c r="I73" s="1">
        <f t="shared" ref="I73:I78" si="19">H73-C73</f>
        <v>-15.31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248</v>
      </c>
      <c r="F74" s="7" t="s">
        <v>268</v>
      </c>
      <c r="H74" s="4">
        <v>7.2</v>
      </c>
      <c r="I74" s="1">
        <f t="shared" si="19"/>
        <v>7.2</v>
      </c>
    </row>
    <row r="75" spans="1:9" x14ac:dyDescent="0.3">
      <c r="A75" s="41"/>
      <c r="B75" s="41" t="s">
        <v>50</v>
      </c>
      <c r="C75" s="4">
        <v>1000</v>
      </c>
      <c r="D75" s="4">
        <v>0</v>
      </c>
      <c r="E75" s="6" t="s">
        <v>248</v>
      </c>
      <c r="F75" s="7" t="s">
        <v>269</v>
      </c>
      <c r="H75" s="4">
        <v>991.88</v>
      </c>
      <c r="I75" s="1">
        <f t="shared" si="19"/>
        <v>-8.1200000000000045</v>
      </c>
    </row>
    <row r="76" spans="1:9" x14ac:dyDescent="0.3">
      <c r="A76" s="41"/>
      <c r="B76" s="41" t="s">
        <v>51</v>
      </c>
      <c r="C76" s="4">
        <v>0</v>
      </c>
      <c r="D76" s="4">
        <v>2100</v>
      </c>
      <c r="E76" s="6" t="s">
        <v>248</v>
      </c>
      <c r="F76" s="7" t="s">
        <v>270</v>
      </c>
      <c r="H76" s="4">
        <v>0.03</v>
      </c>
      <c r="I76" s="1">
        <f t="shared" si="19"/>
        <v>0.03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248</v>
      </c>
      <c r="F77" s="7" t="s">
        <v>271</v>
      </c>
      <c r="H77" s="4">
        <v>-19</v>
      </c>
      <c r="I77" s="1">
        <f t="shared" si="19"/>
        <v>-19</v>
      </c>
    </row>
    <row r="78" spans="1:9" x14ac:dyDescent="0.3">
      <c r="A78" s="41"/>
      <c r="B78" s="41" t="s">
        <v>54</v>
      </c>
      <c r="C78" s="4">
        <v>750</v>
      </c>
      <c r="D78" s="4">
        <v>0</v>
      </c>
      <c r="E78" s="6" t="s">
        <v>248</v>
      </c>
      <c r="F78" s="7" t="s">
        <v>272</v>
      </c>
      <c r="H78" s="4">
        <v>741.75</v>
      </c>
      <c r="I78" s="1">
        <f t="shared" si="19"/>
        <v>-8.25</v>
      </c>
    </row>
    <row r="79" spans="1:9" x14ac:dyDescent="0.3">
      <c r="A79" s="41"/>
      <c r="B79" s="41" t="s">
        <v>11</v>
      </c>
      <c r="C79" s="2">
        <f>SUM(C72:C78)</f>
        <v>1750</v>
      </c>
      <c r="D79" s="2">
        <f>SUM(D72:D78)</f>
        <v>2100</v>
      </c>
      <c r="E79" s="6"/>
      <c r="F79" s="7"/>
      <c r="H79" s="2">
        <f t="shared" ref="H79:I79" si="20">SUM(H72:H78)</f>
        <v>1682.4499999999998</v>
      </c>
      <c r="I79" s="2">
        <f t="shared" si="20"/>
        <v>-67.550000000000011</v>
      </c>
    </row>
    <row r="80" spans="1:9" x14ac:dyDescent="0.3">
      <c r="A80" s="41"/>
      <c r="B80" s="41" t="s">
        <v>12</v>
      </c>
      <c r="C80" s="3">
        <f>SUM(C79+C71+C63+C55)</f>
        <v>7740</v>
      </c>
      <c r="D80" s="3">
        <f>SUM(D79+D71+D63+D55)</f>
        <v>5440</v>
      </c>
      <c r="E80" s="6"/>
      <c r="F80" s="7"/>
      <c r="H80" s="3">
        <f t="shared" ref="H80:I80" si="21">SUM(H79+H71+H63+H55)</f>
        <v>7773.79</v>
      </c>
      <c r="I80" s="3">
        <f t="shared" si="21"/>
        <v>33.789999999999893</v>
      </c>
    </row>
    <row r="81" spans="1:9" x14ac:dyDescent="0.3">
      <c r="A81" s="41"/>
      <c r="B81" s="41" t="s">
        <v>13</v>
      </c>
      <c r="C81" s="1">
        <f>D80+C80</f>
        <v>13180</v>
      </c>
      <c r="E81" s="24"/>
      <c r="F81" s="25"/>
      <c r="H81" s="1">
        <f t="shared" ref="H81:I81" si="22">I80+H80</f>
        <v>7807.58</v>
      </c>
      <c r="I81" s="1">
        <f t="shared" si="22"/>
        <v>33.789999999999893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2100</v>
      </c>
      <c r="D83" s="41"/>
      <c r="E83" s="43" t="s">
        <v>248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252</v>
      </c>
      <c r="F92" s="7" t="s">
        <v>273</v>
      </c>
      <c r="H92" s="4">
        <v>-28</v>
      </c>
      <c r="I92" s="1">
        <f>H92-C92</f>
        <v>-28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252</v>
      </c>
      <c r="F93" s="7" t="s">
        <v>274</v>
      </c>
      <c r="H93" s="4">
        <v>-116.06</v>
      </c>
      <c r="I93" s="1">
        <f t="shared" ref="I93:I98" si="23">H93-C93</f>
        <v>-116.06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252</v>
      </c>
      <c r="F94" s="7" t="s">
        <v>275</v>
      </c>
      <c r="H94" s="4">
        <v>61.33</v>
      </c>
      <c r="I94" s="1">
        <f t="shared" si="23"/>
        <v>61.33</v>
      </c>
    </row>
    <row r="95" spans="1:9" x14ac:dyDescent="0.3">
      <c r="A95" s="41"/>
      <c r="B95" s="41" t="s">
        <v>63</v>
      </c>
      <c r="C95" s="4">
        <v>1000</v>
      </c>
      <c r="D95" s="4">
        <v>0</v>
      </c>
      <c r="E95" s="6" t="s">
        <v>248</v>
      </c>
      <c r="F95" s="7" t="s">
        <v>276</v>
      </c>
      <c r="H95" s="4">
        <v>1014.34</v>
      </c>
      <c r="I95" s="1">
        <f t="shared" si="23"/>
        <v>14.340000000000032</v>
      </c>
    </row>
    <row r="96" spans="1:9" x14ac:dyDescent="0.3">
      <c r="A96" s="41"/>
      <c r="B96" s="41" t="s">
        <v>64</v>
      </c>
      <c r="C96" s="4"/>
      <c r="D96" s="4">
        <v>0</v>
      </c>
      <c r="E96" s="6" t="s">
        <v>248</v>
      </c>
      <c r="F96" s="7" t="s">
        <v>277</v>
      </c>
      <c r="H96" s="4">
        <v>21.74</v>
      </c>
      <c r="I96" s="1">
        <f t="shared" si="23"/>
        <v>21.74</v>
      </c>
    </row>
    <row r="97" spans="1:9" x14ac:dyDescent="0.3">
      <c r="A97" s="41"/>
      <c r="B97" s="41" t="s">
        <v>65</v>
      </c>
      <c r="C97" s="4">
        <v>700</v>
      </c>
      <c r="D97" s="4">
        <v>1790</v>
      </c>
      <c r="E97" s="6" t="s">
        <v>248</v>
      </c>
      <c r="F97" s="7" t="s">
        <v>278</v>
      </c>
      <c r="H97" s="4">
        <v>669.97</v>
      </c>
      <c r="I97" s="1">
        <f t="shared" si="23"/>
        <v>-30.029999999999973</v>
      </c>
    </row>
    <row r="98" spans="1:9" x14ac:dyDescent="0.3">
      <c r="A98" s="41"/>
      <c r="B98" s="41" t="s">
        <v>66</v>
      </c>
      <c r="C98" s="4">
        <v>400</v>
      </c>
      <c r="D98" s="4">
        <v>0</v>
      </c>
      <c r="E98" s="6" t="s">
        <v>248</v>
      </c>
      <c r="F98" s="7" t="s">
        <v>279</v>
      </c>
      <c r="H98" s="4">
        <v>495.78</v>
      </c>
      <c r="I98" s="1">
        <f t="shared" si="23"/>
        <v>95.779999999999973</v>
      </c>
    </row>
    <row r="99" spans="1:9" x14ac:dyDescent="0.3">
      <c r="A99" s="41"/>
      <c r="B99" s="41" t="s">
        <v>29</v>
      </c>
      <c r="C99" s="2">
        <f>SUM(C92:C98)</f>
        <v>2100</v>
      </c>
      <c r="D99" s="2">
        <f>SUM(D92:D98)</f>
        <v>1790</v>
      </c>
      <c r="E99" s="6"/>
      <c r="F99" s="7"/>
      <c r="H99" s="2">
        <f>SUM(H92:H98)</f>
        <v>2119.1000000000004</v>
      </c>
      <c r="I99" s="2">
        <f>SUM(I92:I98)</f>
        <v>19.100000000000023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"/>
      <c r="F100" s="7"/>
      <c r="H100" s="4">
        <v>0</v>
      </c>
      <c r="I100" s="1">
        <f>H100-C100</f>
        <v>0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24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24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24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24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24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24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0</v>
      </c>
      <c r="I107" s="2">
        <f>SUM(I100:I106)</f>
        <v>0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5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5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5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5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5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5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6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6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6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6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6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26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7">SUM(H116:H122)</f>
        <v>0</v>
      </c>
      <c r="I123" s="2">
        <f t="shared" si="27"/>
        <v>0</v>
      </c>
    </row>
    <row r="124" spans="1:9" x14ac:dyDescent="0.3">
      <c r="A124" s="41"/>
      <c r="B124" s="41" t="s">
        <v>12</v>
      </c>
      <c r="C124" s="3">
        <f>SUM(C123+C115+C107+C99)</f>
        <v>2100</v>
      </c>
      <c r="D124" s="3">
        <f>SUM(D123+D115+D107+D99)</f>
        <v>1790</v>
      </c>
      <c r="E124" s="6"/>
      <c r="F124" s="7"/>
      <c r="H124" s="3">
        <f t="shared" ref="H124:I124" si="28">SUM(H123+H115+H107+H99)</f>
        <v>2119.1000000000004</v>
      </c>
      <c r="I124" s="3">
        <f t="shared" si="28"/>
        <v>19.100000000000023</v>
      </c>
    </row>
    <row r="125" spans="1:9" x14ac:dyDescent="0.3">
      <c r="A125" s="41"/>
      <c r="B125" s="41" t="s">
        <v>13</v>
      </c>
      <c r="C125" s="1">
        <f>D124+C124</f>
        <v>3890</v>
      </c>
      <c r="E125" s="24"/>
      <c r="F125" s="25"/>
      <c r="H125" s="1">
        <f t="shared" ref="H125:I125" si="29">I124+H124</f>
        <v>2138.2000000000003</v>
      </c>
      <c r="I125" s="1">
        <f t="shared" si="29"/>
        <v>19.100000000000023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30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30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30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30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30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30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31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31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31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31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31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31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32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32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32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32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32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32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33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33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33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33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33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33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34">SUM(H160:H166)</f>
        <v>0</v>
      </c>
      <c r="I167" s="2">
        <f t="shared" si="34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5">SUM(H167+H159+H151+H143)</f>
        <v>0</v>
      </c>
      <c r="I168" s="3">
        <f t="shared" si="35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6">I168+H168</f>
        <v>0</v>
      </c>
      <c r="I169" s="1">
        <f t="shared" si="36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7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7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7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7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7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7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8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8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8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8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8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8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9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9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9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9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9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9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40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40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40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40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40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40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41">SUM(H204:H210)</f>
        <v>0</v>
      </c>
      <c r="I211" s="2">
        <f t="shared" si="41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42">SUM(H211+H203+H195+H187)</f>
        <v>0</v>
      </c>
      <c r="I212" s="3">
        <f t="shared" si="42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43">I212+H212</f>
        <v>0</v>
      </c>
      <c r="I213" s="1">
        <f t="shared" si="43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49359-DD9E-4261-82C0-21B226895591}">
  <sheetPr codeName="Sheet10"/>
  <dimension ref="A1:I222"/>
  <sheetViews>
    <sheetView showGridLines="0" workbookViewId="0">
      <pane xSplit="2" ySplit="3" topLeftCell="C87" activePane="bottomRight" state="frozen"/>
      <selection pane="topRight" activeCell="C23" sqref="C23"/>
      <selection pane="bottomLeft" activeCell="C23" sqref="C23"/>
      <selection pane="bottomRight" activeCell="N93" sqref="N93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280</v>
      </c>
      <c r="D1" s="14"/>
    </row>
    <row r="2" spans="2:9" x14ac:dyDescent="0.3">
      <c r="C2" s="5" t="s">
        <v>1</v>
      </c>
      <c r="D2" s="5"/>
    </row>
    <row r="3" spans="2:9" ht="86.4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/>
      <c r="I7" s="1">
        <f t="shared" si="0"/>
        <v>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2405</v>
      </c>
      <c r="D9" s="4">
        <v>2405</v>
      </c>
      <c r="E9" s="6" t="s">
        <v>281</v>
      </c>
      <c r="F9" s="7" t="s">
        <v>282</v>
      </c>
      <c r="H9" s="4"/>
      <c r="I9" s="1">
        <f t="shared" si="0"/>
        <v>-2405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/>
      <c r="I10" s="1">
        <f t="shared" si="0"/>
        <v>0</v>
      </c>
    </row>
    <row r="11" spans="2:9" x14ac:dyDescent="0.3">
      <c r="B11" s="21" t="s">
        <v>11</v>
      </c>
      <c r="C11" s="2">
        <f>SUM(C4:C10)</f>
        <v>2405</v>
      </c>
      <c r="D11" s="2">
        <f>SUM(D4:D10)</f>
        <v>2405</v>
      </c>
      <c r="E11" s="6" t="s">
        <v>281</v>
      </c>
      <c r="F11" s="7"/>
      <c r="H11" s="2">
        <f>SUM(H4:H10)</f>
        <v>0</v>
      </c>
      <c r="I11" s="2">
        <f>SUM(I4:I10)</f>
        <v>-2405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 t="s">
        <v>283</v>
      </c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 t="s">
        <v>283</v>
      </c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 t="s">
        <v>283</v>
      </c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 t="s">
        <v>283</v>
      </c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1620</v>
      </c>
      <c r="D16" s="4">
        <v>1620</v>
      </c>
      <c r="E16" s="6" t="s">
        <v>283</v>
      </c>
      <c r="F16" s="7" t="s">
        <v>282</v>
      </c>
      <c r="H16" s="4"/>
      <c r="I16" s="1">
        <f t="shared" si="2"/>
        <v>-1620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 t="s">
        <v>283</v>
      </c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 t="s">
        <v>283</v>
      </c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1620</v>
      </c>
      <c r="D19" s="2">
        <f>SUM(D12:D18)</f>
        <v>1620</v>
      </c>
      <c r="E19" s="6" t="s">
        <v>283</v>
      </c>
      <c r="F19" s="7"/>
      <c r="H19" s="2">
        <f>SUM(H12:H18)</f>
        <v>0</v>
      </c>
      <c r="I19" s="2">
        <f>SUM(I12:I18)</f>
        <v>-1620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 t="s">
        <v>283</v>
      </c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 t="s">
        <v>283</v>
      </c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 t="s">
        <v>283</v>
      </c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 t="s">
        <v>283</v>
      </c>
      <c r="F23" s="7"/>
      <c r="H23" s="4"/>
      <c r="I23" s="1">
        <f t="shared" si="4"/>
        <v>0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 t="s">
        <v>283</v>
      </c>
      <c r="F24" s="7"/>
      <c r="H24" s="4"/>
      <c r="I24" s="1">
        <f t="shared" si="4"/>
        <v>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 t="s">
        <v>283</v>
      </c>
      <c r="F25" s="7"/>
      <c r="H25" s="4"/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 t="s">
        <v>283</v>
      </c>
      <c r="F26" s="7"/>
      <c r="H26" s="4"/>
      <c r="I26" s="1">
        <f t="shared" si="4"/>
        <v>0</v>
      </c>
    </row>
    <row r="27" spans="2:9" x14ac:dyDescent="0.3">
      <c r="B27" s="21" t="s">
        <v>11</v>
      </c>
      <c r="C27" s="2">
        <v>0</v>
      </c>
      <c r="D27" s="2">
        <v>0</v>
      </c>
      <c r="E27" s="6" t="s">
        <v>283</v>
      </c>
      <c r="F27" s="7"/>
      <c r="H27" s="2">
        <f>SUM(H20:H26)</f>
        <v>0</v>
      </c>
      <c r="I27" s="2">
        <f>SUM(I20:I26)</f>
        <v>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 t="s">
        <v>283</v>
      </c>
      <c r="F28" s="7"/>
      <c r="H28" s="4"/>
      <c r="I28" s="1">
        <f>H28-C28</f>
        <v>0</v>
      </c>
    </row>
    <row r="29" spans="2:9" x14ac:dyDescent="0.3">
      <c r="B29" s="20">
        <f>B28+1</f>
        <v>46265</v>
      </c>
      <c r="C29" s="4">
        <v>2095</v>
      </c>
      <c r="D29" s="4">
        <v>2095</v>
      </c>
      <c r="E29" s="6" t="s">
        <v>283</v>
      </c>
      <c r="F29" s="7" t="s">
        <v>282</v>
      </c>
      <c r="H29" s="4"/>
      <c r="I29" s="1">
        <f t="shared" ref="I29:I34" si="6">H29-C29</f>
        <v>-2095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 t="s">
        <v>283</v>
      </c>
      <c r="F30" s="7"/>
      <c r="H30" s="4">
        <v>-35</v>
      </c>
      <c r="I30" s="1">
        <f t="shared" si="6"/>
        <v>-35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 t="s">
        <v>283</v>
      </c>
      <c r="F31" s="7"/>
      <c r="H31" s="4">
        <v>109</v>
      </c>
      <c r="I31" s="1">
        <f t="shared" si="6"/>
        <v>109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 t="s">
        <v>283</v>
      </c>
      <c r="F32" s="7"/>
      <c r="H32" s="4">
        <v>2083</v>
      </c>
      <c r="I32" s="1">
        <f t="shared" si="6"/>
        <v>2083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 t="s">
        <v>283</v>
      </c>
      <c r="F33" s="7"/>
      <c r="H33" s="4">
        <v>-21</v>
      </c>
      <c r="I33" s="1">
        <f t="shared" si="6"/>
        <v>-21</v>
      </c>
    </row>
    <row r="34" spans="1:9" ht="15" thickBot="1" x14ac:dyDescent="0.35">
      <c r="B34" s="20">
        <f t="shared" si="7"/>
        <v>46270</v>
      </c>
      <c r="C34" s="4">
        <v>0</v>
      </c>
      <c r="D34" s="4">
        <v>0</v>
      </c>
      <c r="E34" s="6" t="s">
        <v>283</v>
      </c>
      <c r="F34" s="7"/>
      <c r="H34" s="4">
        <v>71</v>
      </c>
      <c r="I34" s="1">
        <f t="shared" si="6"/>
        <v>71</v>
      </c>
    </row>
    <row r="35" spans="1:9" x14ac:dyDescent="0.3">
      <c r="B35" s="19" t="s">
        <v>11</v>
      </c>
      <c r="C35" s="2">
        <f>SUM(C28:C34)</f>
        <v>2095</v>
      </c>
      <c r="D35" s="2">
        <f>SUM(D28:D34)</f>
        <v>2095</v>
      </c>
      <c r="E35" s="6" t="s">
        <v>283</v>
      </c>
      <c r="F35" s="7"/>
      <c r="H35" s="2">
        <f t="shared" ref="H35:I35" si="8">SUM(H28:H34)</f>
        <v>2207</v>
      </c>
      <c r="I35" s="2">
        <f t="shared" si="8"/>
        <v>112</v>
      </c>
    </row>
    <row r="36" spans="1:9" x14ac:dyDescent="0.3">
      <c r="B36" s="19" t="s">
        <v>12</v>
      </c>
      <c r="C36" s="3">
        <f>SUM(C35+C27+C19+C11)</f>
        <v>6120</v>
      </c>
      <c r="D36" s="3">
        <f>SUM(D35+D27+D19+D11)</f>
        <v>6120</v>
      </c>
      <c r="E36" s="6" t="s">
        <v>283</v>
      </c>
      <c r="F36" s="7"/>
      <c r="H36" s="3">
        <f t="shared" ref="H36:I36" si="9">SUM(H35+H27+H19+H11)</f>
        <v>2207</v>
      </c>
      <c r="I36" s="3">
        <f t="shared" si="9"/>
        <v>-3913</v>
      </c>
    </row>
    <row r="37" spans="1:9" ht="15" thickBot="1" x14ac:dyDescent="0.35">
      <c r="B37" s="19" t="s">
        <v>13</v>
      </c>
      <c r="C37" s="1">
        <f>D36+C36</f>
        <v>12240</v>
      </c>
      <c r="E37" s="24" t="s">
        <v>283</v>
      </c>
      <c r="F37" s="25"/>
      <c r="H37" s="1">
        <f t="shared" ref="H37:I37" si="10">I36+H36</f>
        <v>-1706</v>
      </c>
      <c r="I37" s="1">
        <f t="shared" si="10"/>
        <v>-3913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2405</v>
      </c>
      <c r="E39" s="6" t="s">
        <v>284</v>
      </c>
      <c r="F39" s="30" t="s">
        <v>285</v>
      </c>
    </row>
    <row r="40" spans="1:9" x14ac:dyDescent="0.3">
      <c r="B40" s="31"/>
      <c r="F40" s="32"/>
    </row>
    <row r="41" spans="1:9" x14ac:dyDescent="0.3">
      <c r="B41" s="29" t="s">
        <v>16</v>
      </c>
      <c r="C41" s="40">
        <v>3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200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2405</v>
      </c>
      <c r="D48" s="4">
        <v>2405</v>
      </c>
      <c r="E48" s="6" t="s">
        <v>283</v>
      </c>
      <c r="F48" s="7" t="s">
        <v>282</v>
      </c>
      <c r="H48" s="4">
        <v>-16</v>
      </c>
      <c r="I48" s="1">
        <f>H48-C48</f>
        <v>-2421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283</v>
      </c>
      <c r="F49" s="7"/>
      <c r="H49" s="4">
        <v>-15</v>
      </c>
      <c r="I49" s="1">
        <f t="shared" ref="I49:I54" si="11">H49-C49</f>
        <v>-15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283</v>
      </c>
      <c r="F50" s="7"/>
      <c r="H50" s="4">
        <v>16</v>
      </c>
      <c r="I50" s="1">
        <f t="shared" si="11"/>
        <v>16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 t="s">
        <v>283</v>
      </c>
      <c r="F51" s="7"/>
      <c r="H51" s="4">
        <v>21</v>
      </c>
      <c r="I51" s="1">
        <f t="shared" si="11"/>
        <v>21</v>
      </c>
    </row>
    <row r="52" spans="1:9" x14ac:dyDescent="0.3">
      <c r="A52" s="41"/>
      <c r="B52" s="41" t="s">
        <v>25</v>
      </c>
      <c r="C52" s="4">
        <v>2525</v>
      </c>
      <c r="D52" s="4">
        <v>2525</v>
      </c>
      <c r="E52" s="6" t="s">
        <v>286</v>
      </c>
      <c r="F52" s="7" t="s">
        <v>287</v>
      </c>
      <c r="H52" s="4">
        <v>2433</v>
      </c>
      <c r="I52" s="1">
        <f t="shared" si="11"/>
        <v>-92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283</v>
      </c>
      <c r="F53" s="7"/>
      <c r="H53" s="4">
        <v>60</v>
      </c>
      <c r="I53" s="1">
        <f t="shared" si="11"/>
        <v>60</v>
      </c>
    </row>
    <row r="54" spans="1:9" x14ac:dyDescent="0.3">
      <c r="A54" s="41"/>
      <c r="B54" s="41" t="s">
        <v>27</v>
      </c>
      <c r="C54" s="4">
        <v>0</v>
      </c>
      <c r="D54" s="4">
        <v>0</v>
      </c>
      <c r="E54" s="6" t="s">
        <v>283</v>
      </c>
      <c r="F54" s="7"/>
      <c r="H54" s="4">
        <v>207</v>
      </c>
      <c r="I54" s="1">
        <f t="shared" si="11"/>
        <v>207</v>
      </c>
    </row>
    <row r="55" spans="1:9" x14ac:dyDescent="0.3">
      <c r="A55" s="41"/>
      <c r="B55" s="41" t="s">
        <v>29</v>
      </c>
      <c r="C55" s="2">
        <f>SUM(C48:C54)</f>
        <v>4930</v>
      </c>
      <c r="D55" s="2">
        <f>SUM(D48:D54)</f>
        <v>4930</v>
      </c>
      <c r="E55" s="6" t="s">
        <v>283</v>
      </c>
      <c r="F55" s="7"/>
      <c r="H55" s="2">
        <f>SUM(H48:H54)</f>
        <v>2706</v>
      </c>
      <c r="I55" s="2">
        <f>SUM(I48:I54)</f>
        <v>-2224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283</v>
      </c>
      <c r="F56" s="7"/>
      <c r="H56" s="4">
        <v>-156</v>
      </c>
      <c r="I56" s="1">
        <f>H56-C56</f>
        <v>-156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283</v>
      </c>
      <c r="F57" s="7"/>
      <c r="H57" s="4">
        <v>-81</v>
      </c>
      <c r="I57" s="1">
        <f t="shared" ref="I57:I62" si="12">H57-C57</f>
        <v>-81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" t="s">
        <v>283</v>
      </c>
      <c r="F58" s="7"/>
      <c r="H58" s="4">
        <v>14</v>
      </c>
      <c r="I58" s="1">
        <f t="shared" si="12"/>
        <v>14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283</v>
      </c>
      <c r="F59" s="7"/>
      <c r="H59" s="4">
        <v>56</v>
      </c>
      <c r="I59" s="1">
        <f t="shared" si="12"/>
        <v>56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283</v>
      </c>
      <c r="F60" s="7"/>
      <c r="H60" s="4">
        <v>243</v>
      </c>
      <c r="I60" s="1">
        <f t="shared" si="12"/>
        <v>243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283</v>
      </c>
      <c r="F61" s="7"/>
      <c r="H61" s="4">
        <v>2439</v>
      </c>
      <c r="I61" s="1">
        <f t="shared" si="12"/>
        <v>2439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283</v>
      </c>
      <c r="F62" s="7"/>
      <c r="H62" s="4">
        <v>-42</v>
      </c>
      <c r="I62" s="1">
        <f t="shared" si="12"/>
        <v>-42</v>
      </c>
    </row>
    <row r="63" spans="1:9" x14ac:dyDescent="0.3">
      <c r="A63" s="41"/>
      <c r="B63" s="41" t="s">
        <v>29</v>
      </c>
      <c r="C63" s="2">
        <f>SUM(C56:C62)</f>
        <v>0</v>
      </c>
      <c r="D63" s="2">
        <f>SUM(D56:D62)</f>
        <v>0</v>
      </c>
      <c r="E63" s="6" t="s">
        <v>281</v>
      </c>
      <c r="F63" s="7"/>
      <c r="H63" s="2">
        <f>SUM(H56:H62)</f>
        <v>2473</v>
      </c>
      <c r="I63" s="2">
        <f>SUM(I56:I62)</f>
        <v>2473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283</v>
      </c>
      <c r="F64" s="7"/>
      <c r="H64" s="4">
        <v>-13</v>
      </c>
      <c r="I64" s="1">
        <f>H64-C64</f>
        <v>-13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283</v>
      </c>
      <c r="F65" s="7"/>
      <c r="H65" s="4">
        <v>0</v>
      </c>
      <c r="I65" s="1">
        <f t="shared" ref="I65:I70" si="13">H65-C65</f>
        <v>0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283</v>
      </c>
      <c r="F66" s="7"/>
      <c r="H66" s="4">
        <v>15</v>
      </c>
      <c r="I66" s="1">
        <f t="shared" si="13"/>
        <v>15</v>
      </c>
    </row>
    <row r="67" spans="1:9" x14ac:dyDescent="0.3">
      <c r="A67" s="41"/>
      <c r="B67" s="41" t="s">
        <v>41</v>
      </c>
      <c r="C67" s="4">
        <v>2350</v>
      </c>
      <c r="D67" s="4">
        <v>2350</v>
      </c>
      <c r="E67" s="6" t="s">
        <v>283</v>
      </c>
      <c r="F67" s="7" t="s">
        <v>288</v>
      </c>
      <c r="H67" s="4">
        <v>46</v>
      </c>
      <c r="I67" s="1">
        <f t="shared" si="13"/>
        <v>-2304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283</v>
      </c>
      <c r="F68" s="7"/>
      <c r="H68" s="4">
        <v>2406.13</v>
      </c>
      <c r="I68" s="1">
        <f t="shared" si="13"/>
        <v>2406.13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283</v>
      </c>
      <c r="F69" s="7" t="s">
        <v>289</v>
      </c>
      <c r="H69" s="4">
        <v>-143</v>
      </c>
      <c r="I69" s="1">
        <f t="shared" si="13"/>
        <v>-143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283</v>
      </c>
      <c r="F70" s="7"/>
      <c r="H70" s="4">
        <v>43</v>
      </c>
      <c r="I70" s="1">
        <f t="shared" si="13"/>
        <v>43</v>
      </c>
    </row>
    <row r="71" spans="1:9" x14ac:dyDescent="0.3">
      <c r="A71" s="41"/>
      <c r="B71" s="41" t="s">
        <v>29</v>
      </c>
      <c r="C71" s="2">
        <f>SUM(C64:C70)</f>
        <v>2350</v>
      </c>
      <c r="D71" s="2">
        <f>SUM(D64:D70)</f>
        <v>2350</v>
      </c>
      <c r="E71" s="6" t="s">
        <v>283</v>
      </c>
      <c r="F71" s="7"/>
      <c r="H71" s="2">
        <f>SUM(H64:H70)</f>
        <v>2354.13</v>
      </c>
      <c r="I71" s="2">
        <f>SUM(I64:I70)</f>
        <v>4.1300000000001091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283</v>
      </c>
      <c r="F72" s="7"/>
      <c r="H72" s="4">
        <v>-68</v>
      </c>
      <c r="I72" s="1">
        <f>H72-C72</f>
        <v>-68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283</v>
      </c>
      <c r="F73" s="7"/>
      <c r="H73" s="4">
        <v>56</v>
      </c>
      <c r="I73" s="1">
        <f t="shared" ref="I73:I78" si="14">H73-C73</f>
        <v>56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283</v>
      </c>
      <c r="F74" s="7"/>
      <c r="H74" s="4">
        <v>-26</v>
      </c>
      <c r="I74" s="1">
        <f t="shared" si="14"/>
        <v>-26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283</v>
      </c>
      <c r="F75" s="7"/>
      <c r="H75" s="4">
        <v>10</v>
      </c>
      <c r="I75" s="1">
        <f t="shared" si="14"/>
        <v>10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283</v>
      </c>
      <c r="F76" s="7"/>
      <c r="H76" s="4">
        <v>48</v>
      </c>
      <c r="I76" s="1">
        <f t="shared" si="14"/>
        <v>48</v>
      </c>
    </row>
    <row r="77" spans="1:9" x14ac:dyDescent="0.3">
      <c r="A77" s="41"/>
      <c r="B77" s="41" t="s">
        <v>52</v>
      </c>
      <c r="C77" s="4">
        <v>2150</v>
      </c>
      <c r="D77" s="4">
        <v>2150</v>
      </c>
      <c r="E77" s="6" t="s">
        <v>283</v>
      </c>
      <c r="F77" s="7" t="s">
        <v>290</v>
      </c>
      <c r="H77" s="4">
        <v>2036</v>
      </c>
      <c r="I77" s="1">
        <f t="shared" si="14"/>
        <v>-114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283</v>
      </c>
      <c r="F78" s="7"/>
      <c r="H78" s="4">
        <v>161</v>
      </c>
      <c r="I78" s="1">
        <f t="shared" si="14"/>
        <v>161</v>
      </c>
    </row>
    <row r="79" spans="1:9" x14ac:dyDescent="0.3">
      <c r="A79" s="41"/>
      <c r="B79" s="41" t="s">
        <v>11</v>
      </c>
      <c r="C79" s="2">
        <f>SUM(C72:C78)</f>
        <v>2150</v>
      </c>
      <c r="D79" s="2">
        <f>SUM(D72:D78)</f>
        <v>2150</v>
      </c>
      <c r="E79" s="6" t="s">
        <v>283</v>
      </c>
      <c r="F79" s="7"/>
      <c r="H79" s="2">
        <f t="shared" ref="H79:I79" si="15">SUM(H72:H78)</f>
        <v>2217</v>
      </c>
      <c r="I79" s="2">
        <f t="shared" si="15"/>
        <v>67</v>
      </c>
    </row>
    <row r="80" spans="1:9" x14ac:dyDescent="0.3">
      <c r="A80" s="41"/>
      <c r="B80" s="41" t="s">
        <v>12</v>
      </c>
      <c r="C80" s="3">
        <f>SUM(C79+C71+C63+C55)</f>
        <v>9430</v>
      </c>
      <c r="D80" s="3">
        <f>SUM(D79+D71+D63+D55)</f>
        <v>9430</v>
      </c>
      <c r="E80" s="6" t="s">
        <v>281</v>
      </c>
      <c r="F80" s="7"/>
      <c r="H80" s="3">
        <f t="shared" ref="H80:I80" si="16">SUM(H79+H71+H63+H55)</f>
        <v>9750.130000000001</v>
      </c>
      <c r="I80" s="3">
        <f t="shared" si="16"/>
        <v>320.13000000000011</v>
      </c>
    </row>
    <row r="81" spans="1:9" x14ac:dyDescent="0.3">
      <c r="A81" s="41"/>
      <c r="B81" s="41" t="s">
        <v>13</v>
      </c>
      <c r="C81" s="1">
        <f>D80+C80</f>
        <v>18860</v>
      </c>
      <c r="E81" s="24"/>
      <c r="F81" s="25"/>
      <c r="H81" s="1">
        <f t="shared" ref="H81:I81" si="17">I80+H80</f>
        <v>10070.260000000002</v>
      </c>
      <c r="I81" s="1">
        <f t="shared" si="17"/>
        <v>320.13000000000011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2170</v>
      </c>
      <c r="D83" s="41"/>
      <c r="E83" s="43" t="s">
        <v>281</v>
      </c>
      <c r="F83" s="50" t="s">
        <v>291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 t="s">
        <v>292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200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283</v>
      </c>
      <c r="F92" s="7"/>
      <c r="H92" s="4">
        <v>-180</v>
      </c>
      <c r="I92" s="1">
        <f>H92-C92</f>
        <v>-180</v>
      </c>
    </row>
    <row r="93" spans="1:9" x14ac:dyDescent="0.3">
      <c r="A93" s="41">
        <v>-6</v>
      </c>
      <c r="B93" s="41" t="s">
        <v>60</v>
      </c>
      <c r="C93" s="4">
        <v>0</v>
      </c>
      <c r="D93" s="4">
        <v>0</v>
      </c>
      <c r="E93" s="6" t="s">
        <v>283</v>
      </c>
      <c r="F93" s="7"/>
      <c r="H93" s="4">
        <v>-6</v>
      </c>
      <c r="I93" s="1">
        <f t="shared" ref="I93:I98" si="18">H93-C93</f>
        <v>-6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283</v>
      </c>
      <c r="F94" s="7"/>
      <c r="H94" s="4">
        <v>-8</v>
      </c>
      <c r="I94" s="1">
        <f t="shared" si="18"/>
        <v>-8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283</v>
      </c>
      <c r="F95" s="7"/>
      <c r="H95" s="4">
        <v>36</v>
      </c>
      <c r="I95" s="1">
        <f t="shared" si="18"/>
        <v>36</v>
      </c>
    </row>
    <row r="96" spans="1:9" x14ac:dyDescent="0.3">
      <c r="A96" s="41"/>
      <c r="B96" s="41" t="s">
        <v>64</v>
      </c>
      <c r="C96" s="4">
        <v>2170</v>
      </c>
      <c r="D96" s="4">
        <v>2170</v>
      </c>
      <c r="E96" s="6" t="s">
        <v>283</v>
      </c>
      <c r="F96" s="7" t="s">
        <v>293</v>
      </c>
      <c r="H96" s="4">
        <v>2185</v>
      </c>
      <c r="I96" s="1">
        <f t="shared" si="18"/>
        <v>15</v>
      </c>
    </row>
    <row r="97" spans="1:9" x14ac:dyDescent="0.3">
      <c r="A97" s="41"/>
      <c r="B97" s="41" t="s">
        <v>65</v>
      </c>
      <c r="C97" s="4">
        <v>0</v>
      </c>
      <c r="D97" s="4">
        <v>0</v>
      </c>
      <c r="E97" s="6" t="s">
        <v>294</v>
      </c>
      <c r="F97" s="7"/>
      <c r="H97" s="4">
        <v>36</v>
      </c>
      <c r="I97" s="1">
        <f t="shared" si="18"/>
        <v>36</v>
      </c>
    </row>
    <row r="98" spans="1:9" x14ac:dyDescent="0.3">
      <c r="A98" s="41"/>
      <c r="B98" s="41" t="s">
        <v>66</v>
      </c>
      <c r="C98" s="4">
        <v>0</v>
      </c>
      <c r="D98" s="4">
        <v>0</v>
      </c>
      <c r="E98" s="6" t="s">
        <v>295</v>
      </c>
      <c r="F98" s="7"/>
      <c r="H98" s="4">
        <v>-20.309999999999999</v>
      </c>
      <c r="I98" s="1">
        <f t="shared" si="18"/>
        <v>-20.309999999999999</v>
      </c>
    </row>
    <row r="99" spans="1:9" x14ac:dyDescent="0.3">
      <c r="A99" s="41"/>
      <c r="B99" s="41" t="s">
        <v>29</v>
      </c>
      <c r="C99" s="2">
        <f>SUM(C92:C98)</f>
        <v>2170</v>
      </c>
      <c r="D99" s="2">
        <f>SUM(D92:D98)</f>
        <v>2170</v>
      </c>
      <c r="E99" s="6" t="s">
        <v>283</v>
      </c>
      <c r="F99" s="7"/>
      <c r="H99" s="2">
        <f>SUM(H92:H98)</f>
        <v>2042.69</v>
      </c>
      <c r="I99" s="2">
        <f>SUM(I92:I98)</f>
        <v>-127.31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" t="s">
        <v>283</v>
      </c>
      <c r="F100" s="7"/>
      <c r="H100" s="4">
        <v>-12.15</v>
      </c>
      <c r="I100" s="1">
        <f>H100-C100</f>
        <v>-12.15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 t="s">
        <v>283</v>
      </c>
      <c r="F101" s="7"/>
      <c r="H101" s="4">
        <v>0</v>
      </c>
      <c r="I101" s="1">
        <f t="shared" ref="I101:I106" si="19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 t="s">
        <v>283</v>
      </c>
      <c r="F102" s="7"/>
      <c r="H102" s="4">
        <v>0</v>
      </c>
      <c r="I102" s="1">
        <f t="shared" si="19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 t="s">
        <v>294</v>
      </c>
      <c r="F103" s="7"/>
      <c r="H103" s="4">
        <v>0</v>
      </c>
      <c r="I103" s="1">
        <f t="shared" si="19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 t="s">
        <v>283</v>
      </c>
      <c r="F104" s="7"/>
      <c r="H104" s="4">
        <v>0</v>
      </c>
      <c r="I104" s="1">
        <f t="shared" si="19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 t="s">
        <v>283</v>
      </c>
      <c r="F105" s="7"/>
      <c r="H105" s="4">
        <v>0</v>
      </c>
      <c r="I105" s="1">
        <f t="shared" si="19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 t="s">
        <v>283</v>
      </c>
      <c r="F106" s="7"/>
      <c r="H106" s="4">
        <v>0</v>
      </c>
      <c r="I106" s="1">
        <f t="shared" si="19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 t="s">
        <v>294</v>
      </c>
      <c r="F107" s="7"/>
      <c r="H107" s="2">
        <f>SUM(H100:H106)</f>
        <v>-12.15</v>
      </c>
      <c r="I107" s="2">
        <f>SUM(I100:I106)</f>
        <v>-12.15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 t="s">
        <v>283</v>
      </c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 t="s">
        <v>294</v>
      </c>
      <c r="F109" s="7"/>
      <c r="H109" s="4">
        <v>0</v>
      </c>
      <c r="I109" s="1">
        <f t="shared" ref="I109:I114" si="20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 t="s">
        <v>283</v>
      </c>
      <c r="F110" s="7"/>
      <c r="H110" s="4">
        <v>0</v>
      </c>
      <c r="I110" s="1">
        <f t="shared" si="20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 t="s">
        <v>294</v>
      </c>
      <c r="F111" s="7"/>
      <c r="H111" s="4">
        <v>0</v>
      </c>
      <c r="I111" s="1">
        <f t="shared" si="20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 t="s">
        <v>283</v>
      </c>
      <c r="F112" s="7"/>
      <c r="H112" s="4">
        <v>0</v>
      </c>
      <c r="I112" s="1">
        <f t="shared" si="20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 t="s">
        <v>283</v>
      </c>
      <c r="F113" s="7"/>
      <c r="H113" s="4">
        <v>0</v>
      </c>
      <c r="I113" s="1">
        <f t="shared" si="20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 t="s">
        <v>283</v>
      </c>
      <c r="F114" s="7"/>
      <c r="H114" s="4">
        <v>0</v>
      </c>
      <c r="I114" s="1">
        <f t="shared" si="20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 t="s">
        <v>296</v>
      </c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 t="s">
        <v>283</v>
      </c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 t="s">
        <v>283</v>
      </c>
      <c r="F117" s="7"/>
      <c r="H117" s="4">
        <v>0</v>
      </c>
      <c r="I117" s="1">
        <f t="shared" ref="I117:I122" si="21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 t="s">
        <v>294</v>
      </c>
      <c r="F118" s="7"/>
      <c r="H118" s="4">
        <v>0</v>
      </c>
      <c r="I118" s="1">
        <f t="shared" si="21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 t="s">
        <v>294</v>
      </c>
      <c r="F119" s="7"/>
      <c r="H119" s="4">
        <v>0</v>
      </c>
      <c r="I119" s="1">
        <f t="shared" si="21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 t="s">
        <v>283</v>
      </c>
      <c r="F120" s="7"/>
      <c r="H120" s="4">
        <v>0</v>
      </c>
      <c r="I120" s="1">
        <f t="shared" si="21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 t="s">
        <v>283</v>
      </c>
      <c r="F121" s="7"/>
      <c r="H121" s="4">
        <v>0</v>
      </c>
      <c r="I121" s="1">
        <f t="shared" si="21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 t="s">
        <v>296</v>
      </c>
      <c r="F122" s="7"/>
      <c r="H122" s="4">
        <v>0</v>
      </c>
      <c r="I122" s="1">
        <f t="shared" si="21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 t="s">
        <v>294</v>
      </c>
      <c r="F123" s="7"/>
      <c r="H123" s="2">
        <f t="shared" ref="H123:I123" si="22">SUM(H116:H122)</f>
        <v>0</v>
      </c>
      <c r="I123" s="2">
        <f t="shared" si="22"/>
        <v>0</v>
      </c>
    </row>
    <row r="124" spans="1:9" x14ac:dyDescent="0.3">
      <c r="A124" s="41"/>
      <c r="B124" s="41" t="s">
        <v>12</v>
      </c>
      <c r="C124" s="3">
        <f>SUM(C123+C115+C107+C99)</f>
        <v>2170</v>
      </c>
      <c r="D124" s="3">
        <f>SUM(D123+D115+D107+D99)</f>
        <v>2170</v>
      </c>
      <c r="E124" s="6" t="s">
        <v>294</v>
      </c>
      <c r="F124" s="7"/>
      <c r="H124" s="3">
        <f t="shared" ref="H124:I124" si="23">SUM(H123+H115+H107+H99)</f>
        <v>2030.54</v>
      </c>
      <c r="I124" s="3">
        <f t="shared" si="23"/>
        <v>-139.46</v>
      </c>
    </row>
    <row r="125" spans="1:9" x14ac:dyDescent="0.3">
      <c r="A125" s="41"/>
      <c r="B125" s="41" t="s">
        <v>13</v>
      </c>
      <c r="C125" s="1">
        <f>D124+C124</f>
        <v>4340</v>
      </c>
      <c r="E125" s="24" t="s">
        <v>294</v>
      </c>
      <c r="F125" s="25"/>
      <c r="H125" s="1">
        <f t="shared" ref="H125:I125" si="24">I124+H124</f>
        <v>1891.08</v>
      </c>
      <c r="I125" s="1">
        <f t="shared" si="24"/>
        <v>-139.46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294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5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5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5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5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5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5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6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6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6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6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6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6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7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7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7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7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7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7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8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8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8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8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8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8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9">SUM(H160:H166)</f>
        <v>0</v>
      </c>
      <c r="I167" s="2">
        <f t="shared" si="29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0">SUM(H167+H159+H151+H143)</f>
        <v>0</v>
      </c>
      <c r="I168" s="3">
        <f t="shared" si="30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1">I168+H168</f>
        <v>0</v>
      </c>
      <c r="I169" s="1">
        <f t="shared" si="31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2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2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2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2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2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2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3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3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3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3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3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3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4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4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4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4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4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4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5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5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5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5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5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5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6">SUM(H204:H210)</f>
        <v>0</v>
      </c>
      <c r="I211" s="2">
        <f t="shared" si="36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7">SUM(H211+H203+H195+H187)</f>
        <v>0</v>
      </c>
      <c r="I212" s="3">
        <f t="shared" si="37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8">I212+H212</f>
        <v>0</v>
      </c>
      <c r="I213" s="1">
        <f t="shared" si="38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3DFB-331D-4474-ABA8-6CBDE954140D}">
  <sheetPr codeName="Sheet11"/>
  <dimension ref="A1:I222"/>
  <sheetViews>
    <sheetView showGridLines="0" zoomScale="182" workbookViewId="0">
      <pane xSplit="2" ySplit="3" topLeftCell="C88" activePane="bottomRight" state="frozen"/>
      <selection pane="topRight" activeCell="C23" sqref="C23"/>
      <selection pane="bottomLeft" activeCell="C23" sqref="C23"/>
      <selection pane="bottomRight" activeCell="F98" sqref="F98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  <col min="8" max="8" width="8.88671875" bestFit="1" customWidth="1"/>
  </cols>
  <sheetData>
    <row r="1" spans="2:9" ht="18.75" customHeight="1" x14ac:dyDescent="0.3">
      <c r="B1" s="15"/>
      <c r="C1" s="14" t="s">
        <v>297</v>
      </c>
      <c r="D1" s="14"/>
    </row>
    <row r="2" spans="2:9" x14ac:dyDescent="0.3">
      <c r="C2" s="5" t="s">
        <v>1</v>
      </c>
      <c r="D2" s="5"/>
    </row>
    <row r="3" spans="2:9" ht="81" customHeight="1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 t="s">
        <v>298</v>
      </c>
      <c r="F4" s="7"/>
      <c r="H4" s="4">
        <v>27</v>
      </c>
      <c r="I4" s="1">
        <f>H4-C4</f>
        <v>27</v>
      </c>
    </row>
    <row r="5" spans="2:9" x14ac:dyDescent="0.3">
      <c r="B5" s="20">
        <f>B4+1</f>
        <v>46244</v>
      </c>
      <c r="C5" s="4">
        <v>0</v>
      </c>
      <c r="D5" s="4">
        <v>0</v>
      </c>
      <c r="E5" s="6" t="s">
        <v>298</v>
      </c>
      <c r="F5" s="7"/>
      <c r="H5" s="4">
        <v>0</v>
      </c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 t="s">
        <v>298</v>
      </c>
      <c r="F6" s="7"/>
      <c r="H6" s="4">
        <v>-85</v>
      </c>
      <c r="I6" s="1">
        <f t="shared" si="0"/>
        <v>-85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 t="s">
        <v>298</v>
      </c>
      <c r="F7" s="7"/>
      <c r="H7" s="4">
        <v>1086</v>
      </c>
      <c r="I7" s="1">
        <f t="shared" si="0"/>
        <v>1086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 t="s">
        <v>298</v>
      </c>
      <c r="F8" s="7"/>
      <c r="H8" s="4">
        <v>-31</v>
      </c>
      <c r="I8" s="1">
        <f t="shared" si="0"/>
        <v>-31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 t="s">
        <v>298</v>
      </c>
      <c r="F9" s="7"/>
      <c r="H9" s="4">
        <v>141</v>
      </c>
      <c r="I9" s="1">
        <f t="shared" si="0"/>
        <v>141</v>
      </c>
    </row>
    <row r="10" spans="2:9" ht="15" thickBot="1" x14ac:dyDescent="0.35">
      <c r="B10" s="20">
        <f t="shared" si="1"/>
        <v>46249</v>
      </c>
      <c r="C10" s="4">
        <v>1105</v>
      </c>
      <c r="D10" s="4">
        <v>1105</v>
      </c>
      <c r="E10" s="6" t="s">
        <v>298</v>
      </c>
      <c r="F10" s="7"/>
      <c r="H10" s="4">
        <v>50</v>
      </c>
      <c r="I10" s="1">
        <f t="shared" si="0"/>
        <v>-1055</v>
      </c>
    </row>
    <row r="11" spans="2:9" x14ac:dyDescent="0.3">
      <c r="B11" s="21" t="s">
        <v>11</v>
      </c>
      <c r="C11" s="2">
        <f>SUM(C4:C10)</f>
        <v>1105</v>
      </c>
      <c r="D11" s="2">
        <f>SUM(D4:D10)</f>
        <v>1105</v>
      </c>
      <c r="E11" s="6"/>
      <c r="F11" s="7"/>
      <c r="H11" s="2">
        <f>SUM(H4:H10)</f>
        <v>1188</v>
      </c>
      <c r="I11" s="2">
        <f>SUM(I4:I10)</f>
        <v>83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 t="s">
        <v>298</v>
      </c>
      <c r="F12" s="7"/>
      <c r="H12" s="4">
        <v>52</v>
      </c>
      <c r="I12" s="1">
        <f>H12-C12</f>
        <v>52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 t="s">
        <v>298</v>
      </c>
      <c r="F13" s="7"/>
      <c r="H13" s="4">
        <v>3</v>
      </c>
      <c r="I13" s="1">
        <f t="shared" ref="I13:I18" si="2">H13-C13</f>
        <v>3</v>
      </c>
    </row>
    <row r="14" spans="2:9" x14ac:dyDescent="0.3">
      <c r="B14" s="20">
        <f t="shared" ref="B14:B18" si="3">B13+1</f>
        <v>46252</v>
      </c>
      <c r="C14" s="4">
        <v>0</v>
      </c>
      <c r="D14" s="4"/>
      <c r="E14" s="6" t="s">
        <v>298</v>
      </c>
      <c r="F14" s="7"/>
      <c r="H14" s="4">
        <v>66</v>
      </c>
      <c r="I14" s="1">
        <f t="shared" si="2"/>
        <v>66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 t="s">
        <v>298</v>
      </c>
      <c r="F15" s="7"/>
      <c r="H15" s="4">
        <v>2148</v>
      </c>
      <c r="I15" s="1">
        <f t="shared" si="2"/>
        <v>2148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 t="s">
        <v>298</v>
      </c>
      <c r="F16" s="7"/>
      <c r="H16" s="4">
        <v>0</v>
      </c>
      <c r="I16" s="1">
        <f t="shared" si="2"/>
        <v>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 t="s">
        <v>298</v>
      </c>
      <c r="F17" s="7"/>
      <c r="H17" s="4">
        <v>15</v>
      </c>
      <c r="I17" s="1">
        <f t="shared" si="2"/>
        <v>15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 t="s">
        <v>298</v>
      </c>
      <c r="F18" s="7"/>
      <c r="H18" s="4">
        <v>-12</v>
      </c>
      <c r="I18" s="1">
        <f t="shared" si="2"/>
        <v>-12</v>
      </c>
    </row>
    <row r="19" spans="2:9" x14ac:dyDescent="0.3">
      <c r="B19" s="21" t="s">
        <v>11</v>
      </c>
      <c r="C19" s="2">
        <f>SUM(C12:C18)</f>
        <v>0</v>
      </c>
      <c r="D19" s="2">
        <f>SUM(D12:D18)</f>
        <v>0</v>
      </c>
      <c r="E19" s="6"/>
      <c r="F19" s="7"/>
      <c r="H19" s="2">
        <f>SUM(H12:H18)</f>
        <v>2272</v>
      </c>
      <c r="I19" s="2">
        <f>SUM(I12:I18)</f>
        <v>2272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>
        <v>-15</v>
      </c>
      <c r="I20" s="1">
        <f>H20-C20</f>
        <v>-15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>
        <v>3</v>
      </c>
      <c r="I21" s="1">
        <f t="shared" ref="I21:I26" si="4">H21-C21</f>
        <v>3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/>
      <c r="F22" s="7"/>
      <c r="H22" s="4">
        <v>17</v>
      </c>
      <c r="I22" s="1">
        <f t="shared" si="4"/>
        <v>17</v>
      </c>
    </row>
    <row r="23" spans="2:9" x14ac:dyDescent="0.3">
      <c r="B23" s="20">
        <f t="shared" si="5"/>
        <v>46260</v>
      </c>
      <c r="C23" s="4">
        <v>1350</v>
      </c>
      <c r="D23" s="4">
        <v>1350</v>
      </c>
      <c r="E23" s="6"/>
      <c r="F23" s="7"/>
      <c r="H23" s="4">
        <v>947</v>
      </c>
      <c r="I23" s="1">
        <f t="shared" si="4"/>
        <v>-403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>
        <v>38</v>
      </c>
      <c r="I24" s="1">
        <f t="shared" si="4"/>
        <v>38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>
        <v>92</v>
      </c>
      <c r="I25" s="1">
        <f t="shared" si="4"/>
        <v>92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>
        <v>285</v>
      </c>
      <c r="I26" s="1">
        <f t="shared" si="4"/>
        <v>285</v>
      </c>
    </row>
    <row r="27" spans="2:9" x14ac:dyDescent="0.3">
      <c r="B27" s="21" t="s">
        <v>11</v>
      </c>
      <c r="C27" s="2">
        <f>SUM(C20:C26)</f>
        <v>1350</v>
      </c>
      <c r="D27" s="2">
        <f>SUM(D20:D26)</f>
        <v>1350</v>
      </c>
      <c r="E27" s="6"/>
      <c r="F27" s="7"/>
      <c r="H27" s="2">
        <f>SUM(H20:H26)</f>
        <v>1367</v>
      </c>
      <c r="I27" s="2">
        <f>SUM(I20:I26)</f>
        <v>17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 t="s">
        <v>298</v>
      </c>
      <c r="F28" s="7"/>
      <c r="H28" s="4">
        <v>3</v>
      </c>
      <c r="I28" s="1">
        <f>H28-C28</f>
        <v>3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 t="s">
        <v>298</v>
      </c>
      <c r="F29" s="7"/>
      <c r="H29" s="4">
        <v>4</v>
      </c>
      <c r="I29" s="1">
        <f t="shared" ref="I29:I32" si="6">H29-C29</f>
        <v>4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 t="s">
        <v>298</v>
      </c>
      <c r="F30" s="7"/>
      <c r="H30" s="4">
        <v>37</v>
      </c>
      <c r="I30" s="1">
        <f t="shared" si="6"/>
        <v>37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 t="s">
        <v>298</v>
      </c>
      <c r="F31" s="7"/>
      <c r="H31" s="4">
        <v>990</v>
      </c>
      <c r="I31" s="1">
        <f t="shared" si="6"/>
        <v>990</v>
      </c>
    </row>
    <row r="32" spans="2:9" x14ac:dyDescent="0.3">
      <c r="B32" s="20">
        <f t="shared" si="7"/>
        <v>46268</v>
      </c>
      <c r="C32" s="4">
        <v>0</v>
      </c>
      <c r="D32" s="4">
        <v>1225</v>
      </c>
      <c r="E32" s="6" t="s">
        <v>298</v>
      </c>
      <c r="F32" s="7" t="s">
        <v>299</v>
      </c>
      <c r="H32" s="4">
        <v>104</v>
      </c>
      <c r="I32" s="1">
        <f t="shared" si="6"/>
        <v>104</v>
      </c>
    </row>
    <row r="33" spans="1:9" x14ac:dyDescent="0.3">
      <c r="B33" s="20">
        <f t="shared" si="7"/>
        <v>46269</v>
      </c>
      <c r="C33" s="4">
        <v>0</v>
      </c>
      <c r="D33" s="4"/>
      <c r="E33" s="6" t="s">
        <v>298</v>
      </c>
      <c r="F33" s="7"/>
      <c r="H33" s="4">
        <v>24</v>
      </c>
      <c r="I33" s="1">
        <f>H33-C33</f>
        <v>24</v>
      </c>
    </row>
    <row r="34" spans="1:9" ht="15" thickBot="1" x14ac:dyDescent="0.35">
      <c r="B34" s="20">
        <f t="shared" si="7"/>
        <v>46270</v>
      </c>
      <c r="C34" s="4"/>
      <c r="D34" s="4">
        <v>0</v>
      </c>
      <c r="E34" s="6" t="s">
        <v>298</v>
      </c>
      <c r="F34" s="7"/>
      <c r="H34" s="4">
        <v>47</v>
      </c>
      <c r="I34" s="1">
        <f>H34-C34</f>
        <v>47</v>
      </c>
    </row>
    <row r="35" spans="1:9" x14ac:dyDescent="0.3">
      <c r="B35" s="19" t="s">
        <v>11</v>
      </c>
      <c r="C35" s="2">
        <f>SUM(C28:C34)</f>
        <v>0</v>
      </c>
      <c r="D35" s="2">
        <f>SUM(D28:D34)</f>
        <v>1225</v>
      </c>
      <c r="E35" s="6"/>
      <c r="F35" s="7"/>
      <c r="H35" s="2">
        <f t="shared" ref="H35:I35" si="8">SUM(H28:H34)</f>
        <v>1209</v>
      </c>
      <c r="I35" s="2">
        <f t="shared" si="8"/>
        <v>1209</v>
      </c>
    </row>
    <row r="36" spans="1:9" x14ac:dyDescent="0.3">
      <c r="B36" s="19" t="s">
        <v>12</v>
      </c>
      <c r="C36" s="3">
        <f>SUM(C35+C27+C19+C11)</f>
        <v>2455</v>
      </c>
      <c r="D36" s="3">
        <f>SUM(D35+D27+D19+D11)</f>
        <v>3680</v>
      </c>
      <c r="E36" s="6"/>
      <c r="F36" s="7"/>
      <c r="H36" s="3">
        <f t="shared" ref="H36:I36" si="9">SUM(H35+H27+H19+H11)</f>
        <v>6036</v>
      </c>
      <c r="I36" s="3">
        <f t="shared" si="9"/>
        <v>3581</v>
      </c>
    </row>
    <row r="37" spans="1:9" ht="15" thickBot="1" x14ac:dyDescent="0.35">
      <c r="B37" s="19" t="s">
        <v>13</v>
      </c>
      <c r="C37" s="1">
        <f>D36+C36</f>
        <v>6135</v>
      </c>
      <c r="E37" s="24"/>
      <c r="F37" s="25"/>
      <c r="H37" s="1">
        <f t="shared" ref="H37:I37" si="10">I36+H36</f>
        <v>9617</v>
      </c>
      <c r="I37" s="1">
        <f t="shared" si="10"/>
        <v>3581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1525</v>
      </c>
      <c r="E39" s="6"/>
      <c r="F39" s="57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58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59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298</v>
      </c>
      <c r="F48" s="7"/>
      <c r="H48" s="4">
        <v>-3</v>
      </c>
      <c r="I48" s="1">
        <f>H48-C48</f>
        <v>-3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300</v>
      </c>
      <c r="F49" s="7"/>
      <c r="H49" s="4">
        <v>-5</v>
      </c>
      <c r="I49" s="1">
        <f t="shared" ref="I49:I54" si="11">H49-C49</f>
        <v>-5</v>
      </c>
    </row>
    <row r="50" spans="1:9" x14ac:dyDescent="0.3">
      <c r="A50" s="41"/>
      <c r="B50" s="41" t="s">
        <v>23</v>
      </c>
      <c r="C50" s="4">
        <v>1225</v>
      </c>
      <c r="D50" s="4">
        <v>0</v>
      </c>
      <c r="E50" s="6" t="s">
        <v>300</v>
      </c>
      <c r="F50" s="7"/>
      <c r="H50" s="4">
        <v>429</v>
      </c>
      <c r="I50" s="1">
        <f t="shared" si="11"/>
        <v>-796</v>
      </c>
    </row>
    <row r="51" spans="1:9" x14ac:dyDescent="0.3">
      <c r="A51" s="41"/>
      <c r="B51" s="41" t="s">
        <v>24</v>
      </c>
      <c r="C51" s="4"/>
      <c r="D51" s="4">
        <v>1205</v>
      </c>
      <c r="E51" s="6" t="s">
        <v>301</v>
      </c>
      <c r="F51" s="7"/>
      <c r="H51" s="4">
        <v>818</v>
      </c>
      <c r="I51" s="1">
        <f t="shared" si="11"/>
        <v>818</v>
      </c>
    </row>
    <row r="52" spans="1:9" x14ac:dyDescent="0.3">
      <c r="A52" s="41"/>
      <c r="B52" s="41" t="s">
        <v>25</v>
      </c>
      <c r="C52" s="4"/>
      <c r="D52" s="4">
        <v>0</v>
      </c>
      <c r="E52" s="6" t="s">
        <v>298</v>
      </c>
      <c r="F52" s="7"/>
      <c r="H52" s="4">
        <v>21</v>
      </c>
      <c r="I52" s="1">
        <f t="shared" si="11"/>
        <v>21</v>
      </c>
    </row>
    <row r="53" spans="1:9" x14ac:dyDescent="0.3">
      <c r="A53" s="41"/>
      <c r="B53" s="41" t="s">
        <v>26</v>
      </c>
      <c r="C53" s="4">
        <v>600</v>
      </c>
      <c r="D53" s="4">
        <v>0</v>
      </c>
      <c r="E53" s="6" t="s">
        <v>298</v>
      </c>
      <c r="F53" s="7" t="s">
        <v>302</v>
      </c>
      <c r="H53" s="4">
        <v>-41</v>
      </c>
      <c r="I53" s="1">
        <f t="shared" si="11"/>
        <v>-641</v>
      </c>
    </row>
    <row r="54" spans="1:9" x14ac:dyDescent="0.3">
      <c r="A54" s="41"/>
      <c r="B54" s="41" t="s">
        <v>27</v>
      </c>
      <c r="C54" s="4"/>
      <c r="D54" s="4">
        <v>0</v>
      </c>
      <c r="E54" s="6" t="s">
        <v>298</v>
      </c>
      <c r="F54" s="7"/>
      <c r="H54" s="4">
        <v>659</v>
      </c>
      <c r="I54" s="1">
        <f t="shared" si="11"/>
        <v>659</v>
      </c>
    </row>
    <row r="55" spans="1:9" x14ac:dyDescent="0.3">
      <c r="A55" s="41"/>
      <c r="B55" s="41" t="s">
        <v>29</v>
      </c>
      <c r="C55" s="2">
        <f>SUM(C48:C54)</f>
        <v>1825</v>
      </c>
      <c r="D55" s="2">
        <f>SUM(D48:D54)</f>
        <v>1205</v>
      </c>
      <c r="E55" s="6"/>
      <c r="F55" s="7"/>
      <c r="H55" s="2">
        <f>SUM(H48:H54)</f>
        <v>1878</v>
      </c>
      <c r="I55" s="2">
        <f>SUM(I48:I54)</f>
        <v>53</v>
      </c>
    </row>
    <row r="56" spans="1:9" x14ac:dyDescent="0.3">
      <c r="A56" s="41"/>
      <c r="B56" s="41" t="s">
        <v>30</v>
      </c>
      <c r="C56" s="4"/>
      <c r="D56" s="4">
        <v>0</v>
      </c>
      <c r="E56" s="6" t="s">
        <v>301</v>
      </c>
      <c r="F56" s="7"/>
      <c r="H56" s="4">
        <v>42</v>
      </c>
      <c r="I56" s="1">
        <f>H56-C56</f>
        <v>42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301</v>
      </c>
      <c r="F57" s="7"/>
      <c r="H57" s="4">
        <v>-31</v>
      </c>
      <c r="I57" s="1">
        <f t="shared" ref="I57:I62" si="12">H57-C57</f>
        <v>-31</v>
      </c>
    </row>
    <row r="58" spans="1:9" x14ac:dyDescent="0.3">
      <c r="A58" s="41"/>
      <c r="B58" s="41" t="s">
        <v>32</v>
      </c>
      <c r="C58" s="4"/>
      <c r="D58" s="4">
        <v>0</v>
      </c>
      <c r="E58" s="6" t="s">
        <v>301</v>
      </c>
      <c r="F58" s="7"/>
      <c r="H58" s="4">
        <v>-107</v>
      </c>
      <c r="I58" s="1">
        <f t="shared" si="12"/>
        <v>-107</v>
      </c>
    </row>
    <row r="59" spans="1:9" x14ac:dyDescent="0.3">
      <c r="A59" s="41"/>
      <c r="B59" s="41" t="s">
        <v>34</v>
      </c>
      <c r="C59" s="4">
        <v>605</v>
      </c>
      <c r="D59" s="4">
        <v>0</v>
      </c>
      <c r="E59" s="6" t="s">
        <v>298</v>
      </c>
      <c r="F59" s="7" t="s">
        <v>303</v>
      </c>
      <c r="H59" s="4">
        <v>583</v>
      </c>
      <c r="I59" s="1">
        <f t="shared" si="12"/>
        <v>-22</v>
      </c>
    </row>
    <row r="60" spans="1:9" x14ac:dyDescent="0.3">
      <c r="A60" s="41"/>
      <c r="B60" s="41" t="s">
        <v>35</v>
      </c>
      <c r="C60" s="4">
        <v>0</v>
      </c>
      <c r="D60" s="4">
        <v>1200</v>
      </c>
      <c r="E60" s="6" t="s">
        <v>298</v>
      </c>
      <c r="F60" s="7" t="s">
        <v>304</v>
      </c>
      <c r="H60" s="4">
        <v>52</v>
      </c>
      <c r="I60" s="1">
        <f t="shared" si="12"/>
        <v>52</v>
      </c>
    </row>
    <row r="61" spans="1:9" x14ac:dyDescent="0.3">
      <c r="A61" s="41"/>
      <c r="B61" s="41" t="s">
        <v>36</v>
      </c>
      <c r="C61" s="4">
        <v>650</v>
      </c>
      <c r="D61" s="4">
        <v>0</v>
      </c>
      <c r="E61" s="6" t="s">
        <v>298</v>
      </c>
      <c r="F61" s="7" t="s">
        <v>305</v>
      </c>
      <c r="H61" s="4">
        <v>-76</v>
      </c>
      <c r="I61" s="1">
        <f t="shared" si="12"/>
        <v>-726</v>
      </c>
    </row>
    <row r="62" spans="1:9" x14ac:dyDescent="0.3">
      <c r="A62" s="41"/>
      <c r="B62" s="41" t="s">
        <v>37</v>
      </c>
      <c r="C62" s="4"/>
      <c r="D62" s="4">
        <v>0</v>
      </c>
      <c r="E62" s="6" t="s">
        <v>298</v>
      </c>
      <c r="F62" s="7"/>
      <c r="H62" s="4">
        <v>680</v>
      </c>
      <c r="I62" s="1">
        <f t="shared" si="12"/>
        <v>680</v>
      </c>
    </row>
    <row r="63" spans="1:9" x14ac:dyDescent="0.3">
      <c r="A63" s="41"/>
      <c r="B63" s="41" t="s">
        <v>29</v>
      </c>
      <c r="C63" s="2">
        <f>SUM(C56:C62)</f>
        <v>1255</v>
      </c>
      <c r="D63" s="2">
        <f>SUM(D56:D62)</f>
        <v>1200</v>
      </c>
      <c r="E63" s="6"/>
      <c r="F63" s="7"/>
      <c r="H63" s="2">
        <f>SUM(H56:H62)</f>
        <v>1143</v>
      </c>
      <c r="I63" s="2">
        <f>SUM(I56:I62)</f>
        <v>-112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301</v>
      </c>
      <c r="F64" s="7"/>
      <c r="H64" s="4">
        <v>4</v>
      </c>
      <c r="I64" s="1">
        <f>H64-C64</f>
        <v>4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301</v>
      </c>
      <c r="F65" s="7"/>
      <c r="H65" s="4">
        <v>50</v>
      </c>
      <c r="I65" s="1">
        <f t="shared" ref="I65:I70" si="13">H65-C65</f>
        <v>50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301</v>
      </c>
      <c r="F66" s="7"/>
      <c r="H66" s="4">
        <v>0</v>
      </c>
      <c r="I66" s="1">
        <v>0</v>
      </c>
    </row>
    <row r="67" spans="1:9" x14ac:dyDescent="0.3">
      <c r="A67" s="41"/>
      <c r="B67" s="41" t="s">
        <v>41</v>
      </c>
      <c r="C67" s="4">
        <v>550</v>
      </c>
      <c r="D67" s="4">
        <v>0</v>
      </c>
      <c r="E67" s="6" t="s">
        <v>298</v>
      </c>
      <c r="F67" s="7" t="s">
        <v>306</v>
      </c>
      <c r="H67" s="4">
        <v>553</v>
      </c>
      <c r="I67" s="1">
        <f t="shared" si="13"/>
        <v>3</v>
      </c>
    </row>
    <row r="68" spans="1:9" x14ac:dyDescent="0.3">
      <c r="A68" s="41"/>
      <c r="B68" s="41" t="s">
        <v>42</v>
      </c>
      <c r="C68" s="4"/>
      <c r="D68" s="4">
        <v>1220</v>
      </c>
      <c r="E68" s="6" t="s">
        <v>298</v>
      </c>
      <c r="F68" s="7" t="s">
        <v>304</v>
      </c>
      <c r="H68" s="4">
        <v>-125</v>
      </c>
      <c r="I68" s="1">
        <f t="shared" si="13"/>
        <v>-125</v>
      </c>
    </row>
    <row r="69" spans="1:9" x14ac:dyDescent="0.3">
      <c r="A69" s="41"/>
      <c r="B69" s="41" t="s">
        <v>44</v>
      </c>
      <c r="C69" s="4">
        <v>490</v>
      </c>
      <c r="D69" s="4">
        <v>0</v>
      </c>
      <c r="E69" s="6" t="s">
        <v>298</v>
      </c>
      <c r="F69" s="78" t="s">
        <v>307</v>
      </c>
      <c r="H69" s="4">
        <v>458</v>
      </c>
      <c r="I69" s="1">
        <f t="shared" si="13"/>
        <v>-32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298</v>
      </c>
      <c r="F70" s="7"/>
      <c r="H70" s="4">
        <v>-4</v>
      </c>
      <c r="I70" s="1">
        <f t="shared" si="13"/>
        <v>-4</v>
      </c>
    </row>
    <row r="71" spans="1:9" x14ac:dyDescent="0.3">
      <c r="A71" s="41"/>
      <c r="B71" s="41" t="s">
        <v>29</v>
      </c>
      <c r="C71" s="2">
        <f>SUM(C64:C70)</f>
        <v>1040</v>
      </c>
      <c r="D71" s="2">
        <f>SUM(D64:D70)</f>
        <v>1220</v>
      </c>
      <c r="E71" s="6"/>
      <c r="F71" s="7"/>
      <c r="H71" s="2">
        <f>SUM(H64:H70)</f>
        <v>936</v>
      </c>
      <c r="I71" s="2">
        <f>SUM(I64:I70)</f>
        <v>-104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301</v>
      </c>
      <c r="F72" s="7"/>
      <c r="H72" s="4">
        <v>58</v>
      </c>
      <c r="I72" s="1">
        <f>H72-C72</f>
        <v>58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241</v>
      </c>
      <c r="F73" s="7"/>
      <c r="H73" s="4">
        <v>4</v>
      </c>
      <c r="I73" s="1">
        <f t="shared" ref="I73:I78" si="14">H73-C73</f>
        <v>4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301</v>
      </c>
      <c r="F74" s="7"/>
      <c r="H74" s="4">
        <v>11</v>
      </c>
      <c r="I74" s="1">
        <f t="shared" si="14"/>
        <v>11</v>
      </c>
    </row>
    <row r="75" spans="1:9" x14ac:dyDescent="0.3">
      <c r="A75" s="41"/>
      <c r="B75" s="41" t="s">
        <v>50</v>
      </c>
      <c r="C75" s="4">
        <v>730</v>
      </c>
      <c r="D75" s="4">
        <v>0</v>
      </c>
      <c r="E75" s="6" t="s">
        <v>301</v>
      </c>
      <c r="F75" s="7" t="s">
        <v>308</v>
      </c>
      <c r="H75" s="4">
        <v>745</v>
      </c>
      <c r="I75" s="1">
        <f t="shared" si="14"/>
        <v>15</v>
      </c>
    </row>
    <row r="76" spans="1:9" x14ac:dyDescent="0.3">
      <c r="A76" s="41"/>
      <c r="B76" s="41" t="s">
        <v>51</v>
      </c>
      <c r="C76" s="4"/>
      <c r="D76" s="4">
        <v>1350</v>
      </c>
      <c r="E76" s="6" t="s">
        <v>309</v>
      </c>
      <c r="F76" s="7" t="s">
        <v>310</v>
      </c>
      <c r="H76" s="4">
        <v>-27</v>
      </c>
      <c r="I76" s="1">
        <f t="shared" si="14"/>
        <v>-27</v>
      </c>
    </row>
    <row r="77" spans="1:9" x14ac:dyDescent="0.3">
      <c r="A77" s="41"/>
      <c r="B77" s="41" t="s">
        <v>52</v>
      </c>
      <c r="C77" s="4">
        <v>550</v>
      </c>
      <c r="D77" s="4">
        <v>0</v>
      </c>
      <c r="E77" s="6" t="s">
        <v>309</v>
      </c>
      <c r="F77" s="7" t="s">
        <v>311</v>
      </c>
      <c r="H77" s="4">
        <v>591</v>
      </c>
      <c r="I77" s="1">
        <f t="shared" si="14"/>
        <v>41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309</v>
      </c>
      <c r="F78" s="7"/>
      <c r="H78" s="4">
        <v>-51</v>
      </c>
      <c r="I78" s="1">
        <f t="shared" si="14"/>
        <v>-51</v>
      </c>
    </row>
    <row r="79" spans="1:9" x14ac:dyDescent="0.3">
      <c r="A79" s="41"/>
      <c r="B79" s="41" t="s">
        <v>11</v>
      </c>
      <c r="C79" s="2">
        <f>SUM(C72:C78)</f>
        <v>1280</v>
      </c>
      <c r="D79" s="2">
        <f>SUM(D72:D78)</f>
        <v>1350</v>
      </c>
      <c r="E79" s="6"/>
      <c r="F79" s="7"/>
      <c r="H79" s="2">
        <f>SUM(H72:H78)</f>
        <v>1331</v>
      </c>
      <c r="I79" s="2">
        <f>SUM(I72:I78)</f>
        <v>51</v>
      </c>
    </row>
    <row r="80" spans="1:9" x14ac:dyDescent="0.3">
      <c r="A80" s="41"/>
      <c r="B80" s="41" t="s">
        <v>12</v>
      </c>
      <c r="C80" s="3">
        <f>SUM(C79+C71+C63+C55)</f>
        <v>5400</v>
      </c>
      <c r="D80" s="3">
        <f>SUM(D79+D71+D63+D55)</f>
        <v>4975</v>
      </c>
      <c r="E80" s="6"/>
      <c r="F80" s="7"/>
      <c r="H80" s="3">
        <f>SUM(H79+H71+H63+H55)</f>
        <v>5288</v>
      </c>
      <c r="I80" s="3">
        <f>SUM(I79+I71+I63+I55)</f>
        <v>-112</v>
      </c>
    </row>
    <row r="81" spans="1:9" x14ac:dyDescent="0.3">
      <c r="A81" s="41"/>
      <c r="B81" s="41" t="s">
        <v>13</v>
      </c>
      <c r="C81" s="1">
        <f>D80+C80</f>
        <v>10375</v>
      </c>
      <c r="E81" s="24"/>
      <c r="F81" s="25"/>
      <c r="H81" s="1">
        <f t="shared" ref="H81:I81" si="15">I80+H80</f>
        <v>5176</v>
      </c>
      <c r="I81" s="1">
        <f t="shared" si="15"/>
        <v>-112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84">
        <v>800</v>
      </c>
      <c r="D83" s="41"/>
      <c r="E83" s="43" t="s">
        <v>298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84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85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700</v>
      </c>
      <c r="D92" s="4">
        <v>0</v>
      </c>
      <c r="E92" s="6" t="s">
        <v>301</v>
      </c>
      <c r="F92" s="7" t="s">
        <v>312</v>
      </c>
      <c r="H92" s="4">
        <v>645</v>
      </c>
      <c r="I92" s="1">
        <f>H92-C92</f>
        <v>-55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301</v>
      </c>
      <c r="F93" s="7"/>
      <c r="H93" s="4">
        <v>-64</v>
      </c>
      <c r="I93" s="1">
        <f t="shared" ref="I93:I98" si="16">H93-C93</f>
        <v>-64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301</v>
      </c>
      <c r="F94" s="7"/>
      <c r="H94" s="4">
        <v>-5</v>
      </c>
      <c r="I94" s="1">
        <f t="shared" si="16"/>
        <v>-5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301</v>
      </c>
      <c r="F95" s="7"/>
      <c r="H95" s="4">
        <v>-7</v>
      </c>
      <c r="I95" s="1">
        <f t="shared" si="16"/>
        <v>-7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301</v>
      </c>
      <c r="F96" s="7"/>
      <c r="H96" s="4">
        <v>113</v>
      </c>
      <c r="I96" s="1">
        <f t="shared" si="16"/>
        <v>113</v>
      </c>
    </row>
    <row r="97" spans="1:9" x14ac:dyDescent="0.3">
      <c r="A97" s="41"/>
      <c r="B97" s="41" t="s">
        <v>65</v>
      </c>
      <c r="C97" s="4">
        <v>100</v>
      </c>
      <c r="D97" s="4">
        <v>1180</v>
      </c>
      <c r="E97" s="6" t="s">
        <v>309</v>
      </c>
      <c r="F97" s="7" t="s">
        <v>313</v>
      </c>
      <c r="H97" s="4">
        <v>-2431</v>
      </c>
      <c r="I97" s="1">
        <f t="shared" si="16"/>
        <v>-2531</v>
      </c>
    </row>
    <row r="98" spans="1:9" x14ac:dyDescent="0.3">
      <c r="A98" s="41"/>
      <c r="B98" s="41" t="s">
        <v>66</v>
      </c>
      <c r="C98" s="4">
        <v>780</v>
      </c>
      <c r="D98" s="4">
        <v>0</v>
      </c>
      <c r="E98" s="6" t="s">
        <v>309</v>
      </c>
      <c r="F98" s="7"/>
      <c r="H98" s="4">
        <v>796</v>
      </c>
      <c r="I98" s="1">
        <f t="shared" si="16"/>
        <v>16</v>
      </c>
    </row>
    <row r="99" spans="1:9" x14ac:dyDescent="0.3">
      <c r="A99" s="41"/>
      <c r="B99" s="41" t="s">
        <v>29</v>
      </c>
      <c r="C99" s="2">
        <f>SUM(C92:C98)</f>
        <v>1580</v>
      </c>
      <c r="D99" s="2">
        <f>SUM(D92:D98)</f>
        <v>1180</v>
      </c>
      <c r="E99" s="6"/>
      <c r="F99" s="7"/>
      <c r="H99" s="2">
        <f>SUM(H92:H98)</f>
        <v>-953</v>
      </c>
      <c r="I99" s="2">
        <f>SUM(I92:I98)</f>
        <v>-2533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" t="s">
        <v>301</v>
      </c>
      <c r="F100" s="7"/>
      <c r="H100" s="4">
        <v>0</v>
      </c>
      <c r="I100" s="1">
        <f>H100-C100</f>
        <v>0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 t="s">
        <v>301</v>
      </c>
      <c r="F101" s="7"/>
      <c r="H101" s="4">
        <v>0</v>
      </c>
      <c r="I101" s="1">
        <f t="shared" ref="I101:I106" si="17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 t="s">
        <v>301</v>
      </c>
      <c r="F102" s="7"/>
      <c r="H102" s="4">
        <v>0</v>
      </c>
      <c r="I102" s="1">
        <f t="shared" si="17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 t="s">
        <v>301</v>
      </c>
      <c r="F103" s="7"/>
      <c r="H103" s="4">
        <v>0</v>
      </c>
      <c r="I103" s="1">
        <f t="shared" si="17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7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7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7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0</v>
      </c>
      <c r="I107" s="2">
        <f>SUM(I100:I106)</f>
        <v>0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18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18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18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18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18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18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19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19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19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19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19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19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0">SUM(H116:H122)</f>
        <v>0</v>
      </c>
      <c r="I123" s="2">
        <f t="shared" si="20"/>
        <v>0</v>
      </c>
    </row>
    <row r="124" spans="1:9" x14ac:dyDescent="0.3">
      <c r="A124" s="41"/>
      <c r="B124" s="41" t="s">
        <v>12</v>
      </c>
      <c r="C124" s="3">
        <f>SUM(C123+C115+C107+C99)</f>
        <v>1580</v>
      </c>
      <c r="D124" s="3">
        <f>SUM(D123+D115+D107+D99)</f>
        <v>1180</v>
      </c>
      <c r="E124" s="6"/>
      <c r="F124" s="7"/>
      <c r="H124" s="3">
        <f t="shared" ref="H124:I124" si="21">SUM(H123+H115+H107+H99)</f>
        <v>-953</v>
      </c>
      <c r="I124" s="3">
        <f t="shared" si="21"/>
        <v>-2533</v>
      </c>
    </row>
    <row r="125" spans="1:9" x14ac:dyDescent="0.3">
      <c r="A125" s="41"/>
      <c r="B125" s="41" t="s">
        <v>13</v>
      </c>
      <c r="C125" s="1">
        <f>D124+C124</f>
        <v>2760</v>
      </c>
      <c r="E125" s="24"/>
      <c r="F125" s="25"/>
      <c r="H125" s="1">
        <f t="shared" ref="H125:I125" si="22">I124+H124</f>
        <v>-3486</v>
      </c>
      <c r="I125" s="1">
        <f t="shared" si="22"/>
        <v>-2533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3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3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3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3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3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3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4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4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4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4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4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4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5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5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5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5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5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5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6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6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6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6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6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6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7">SUM(H160:H166)</f>
        <v>0</v>
      </c>
      <c r="I167" s="2">
        <f t="shared" si="27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28">SUM(H167+H159+H151+H143)</f>
        <v>0</v>
      </c>
      <c r="I168" s="3">
        <f t="shared" si="28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29">I168+H168</f>
        <v>0</v>
      </c>
      <c r="I169" s="1">
        <f t="shared" si="29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0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0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0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0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0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0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1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1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1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1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1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1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2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2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2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2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2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2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3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3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3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3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3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3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4">SUM(H204:H210)</f>
        <v>0</v>
      </c>
      <c r="I211" s="2">
        <f t="shared" si="34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5">SUM(H211+H203+H195+H187)</f>
        <v>0</v>
      </c>
      <c r="I212" s="3">
        <f t="shared" si="35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6">I212+H212</f>
        <v>0</v>
      </c>
      <c r="I213" s="1">
        <f t="shared" si="36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F485F-30FE-4290-B244-C89DC7F2E359}">
  <sheetPr codeName="Sheet12"/>
  <dimension ref="A1:I222"/>
  <sheetViews>
    <sheetView showGridLines="0" workbookViewId="0">
      <pane xSplit="2" ySplit="3" topLeftCell="C82" activePane="bottomRight" state="frozen"/>
      <selection pane="topRight" activeCell="C23" sqref="C23"/>
      <selection pane="bottomLeft" activeCell="C23" sqref="C23"/>
      <selection pane="bottomRight" activeCell="D98" sqref="D98"/>
    </sheetView>
  </sheetViews>
  <sheetFormatPr defaultColWidth="8.88671875" defaultRowHeight="14.4" x14ac:dyDescent="0.3"/>
  <cols>
    <col min="1" max="1" width="2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314</v>
      </c>
      <c r="D1" s="14"/>
    </row>
    <row r="2" spans="2:9" x14ac:dyDescent="0.3">
      <c r="C2" s="5" t="s">
        <v>1</v>
      </c>
      <c r="D2" s="5"/>
    </row>
    <row r="3" spans="2:9" ht="86.4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/>
      <c r="I7" s="1">
        <f t="shared" si="0"/>
        <v>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/>
      <c r="I9" s="1">
        <f t="shared" si="0"/>
        <v>0</v>
      </c>
    </row>
    <row r="10" spans="2:9" ht="15" thickBot="1" x14ac:dyDescent="0.35">
      <c r="B10" s="20">
        <f t="shared" si="1"/>
        <v>46249</v>
      </c>
      <c r="C10" s="4">
        <v>700</v>
      </c>
      <c r="D10" s="4">
        <v>0</v>
      </c>
      <c r="E10" s="6" t="s">
        <v>315</v>
      </c>
      <c r="F10" s="7"/>
      <c r="H10" s="4"/>
      <c r="I10" s="1">
        <f t="shared" si="0"/>
        <v>-700</v>
      </c>
    </row>
    <row r="11" spans="2:9" x14ac:dyDescent="0.3">
      <c r="B11" s="21" t="s">
        <v>11</v>
      </c>
      <c r="C11" s="2">
        <f>SUM(C4:C10)</f>
        <v>700</v>
      </c>
      <c r="D11" s="2">
        <f>SUM(D4:D10)</f>
        <v>0</v>
      </c>
      <c r="E11" s="6" t="s">
        <v>315</v>
      </c>
      <c r="F11" s="7"/>
      <c r="H11" s="2">
        <f>SUM(H4:H10)</f>
        <v>0</v>
      </c>
      <c r="I11" s="2">
        <f>SUM(I4:I10)</f>
        <v>-700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1570</v>
      </c>
      <c r="E14" s="6" t="s">
        <v>315</v>
      </c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800</v>
      </c>
      <c r="D16" s="4">
        <v>0</v>
      </c>
      <c r="E16" s="6" t="s">
        <v>315</v>
      </c>
      <c r="F16" s="7"/>
      <c r="H16" s="4"/>
      <c r="I16" s="1">
        <f t="shared" si="2"/>
        <v>-800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800</v>
      </c>
      <c r="D19" s="2">
        <f>SUM(D12:D18)</f>
        <v>1570</v>
      </c>
      <c r="E19" s="6" t="s">
        <v>315</v>
      </c>
      <c r="F19" s="7"/>
      <c r="H19" s="2">
        <f>SUM(H12:H18)</f>
        <v>0</v>
      </c>
      <c r="I19" s="2">
        <f>SUM(I12:I18)</f>
        <v>-800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/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/>
      <c r="F23" s="7"/>
      <c r="H23" s="4"/>
      <c r="I23" s="1">
        <f t="shared" si="4"/>
        <v>0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/>
      <c r="I24" s="1">
        <f t="shared" si="4"/>
        <v>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/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/>
      <c r="I26" s="1">
        <f t="shared" si="4"/>
        <v>0</v>
      </c>
    </row>
    <row r="27" spans="2:9" x14ac:dyDescent="0.3">
      <c r="B27" s="21" t="s">
        <v>11</v>
      </c>
      <c r="C27" s="2">
        <f>SUM(C20:C26)</f>
        <v>0</v>
      </c>
      <c r="D27" s="2">
        <f>SUM(D20:D26)</f>
        <v>0</v>
      </c>
      <c r="E27" s="6"/>
      <c r="F27" s="7"/>
      <c r="H27" s="2">
        <f>SUM(H20:H26)</f>
        <v>0</v>
      </c>
      <c r="I27" s="2">
        <f>SUM(I20:I26)</f>
        <v>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/>
      <c r="I28" s="1">
        <f>H28-C28</f>
        <v>0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/>
      <c r="I29" s="1">
        <f t="shared" ref="I29:I34" si="6">H29-C29</f>
        <v>0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/>
      <c r="I30" s="1">
        <f t="shared" si="6"/>
        <v>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/>
      <c r="I31" s="1">
        <f t="shared" si="6"/>
        <v>0</v>
      </c>
    </row>
    <row r="32" spans="2:9" x14ac:dyDescent="0.3">
      <c r="B32" s="20">
        <f t="shared" si="7"/>
        <v>46268</v>
      </c>
      <c r="C32" s="4"/>
      <c r="D32" s="4">
        <v>6850</v>
      </c>
      <c r="E32" s="6" t="s">
        <v>315</v>
      </c>
      <c r="F32" s="7" t="s">
        <v>316</v>
      </c>
      <c r="H32" s="4"/>
      <c r="I32" s="1">
        <f t="shared" si="6"/>
        <v>0</v>
      </c>
    </row>
    <row r="33" spans="1:9" x14ac:dyDescent="0.3">
      <c r="B33" s="20">
        <f t="shared" si="7"/>
        <v>46269</v>
      </c>
      <c r="C33" s="4">
        <v>870</v>
      </c>
      <c r="D33" s="4">
        <v>0</v>
      </c>
      <c r="E33" s="6" t="s">
        <v>315</v>
      </c>
      <c r="F33" s="7"/>
      <c r="H33" s="4"/>
      <c r="I33" s="1">
        <f t="shared" si="6"/>
        <v>-870</v>
      </c>
    </row>
    <row r="34" spans="1:9" ht="15" thickBot="1" x14ac:dyDescent="0.35">
      <c r="B34" s="20">
        <f t="shared" si="7"/>
        <v>46270</v>
      </c>
      <c r="C34" s="4">
        <v>0</v>
      </c>
      <c r="D34" s="4">
        <v>0</v>
      </c>
      <c r="E34" s="6"/>
      <c r="F34" s="7"/>
      <c r="H34" s="4"/>
      <c r="I34" s="1">
        <f t="shared" si="6"/>
        <v>0</v>
      </c>
    </row>
    <row r="35" spans="1:9" x14ac:dyDescent="0.3">
      <c r="B35" s="19" t="s">
        <v>11</v>
      </c>
      <c r="C35" s="2">
        <f>SUM(C28:C34)</f>
        <v>870</v>
      </c>
      <c r="D35" s="2">
        <f>SUM(D28:D34)</f>
        <v>6850</v>
      </c>
      <c r="E35" s="6" t="s">
        <v>315</v>
      </c>
      <c r="F35" s="7"/>
      <c r="H35" s="2">
        <f t="shared" ref="H35:I35" si="8">SUM(H28:H34)</f>
        <v>0</v>
      </c>
      <c r="I35" s="2">
        <f t="shared" si="8"/>
        <v>-870</v>
      </c>
    </row>
    <row r="36" spans="1:9" x14ac:dyDescent="0.3">
      <c r="B36" s="19" t="s">
        <v>12</v>
      </c>
      <c r="C36" s="3">
        <f>SUM(C35+C27+C19+C11)</f>
        <v>2370</v>
      </c>
      <c r="D36" s="3">
        <f>SUM(D35+D27+D19+D11)</f>
        <v>8420</v>
      </c>
      <c r="E36" s="6" t="s">
        <v>315</v>
      </c>
      <c r="F36" s="7"/>
      <c r="H36" s="3">
        <f t="shared" ref="H36:I36" si="9">SUM(H35+H27+H19+H11)</f>
        <v>0</v>
      </c>
      <c r="I36" s="3">
        <f t="shared" si="9"/>
        <v>-2370</v>
      </c>
    </row>
    <row r="37" spans="1:9" ht="15" thickBot="1" x14ac:dyDescent="0.35">
      <c r="B37" s="19" t="s">
        <v>13</v>
      </c>
      <c r="C37" s="1">
        <f>D36+C36</f>
        <v>10790</v>
      </c>
      <c r="E37" s="24"/>
      <c r="F37" s="25"/>
      <c r="H37" s="1">
        <f t="shared" ref="H37:I37" si="10">I36+H36</f>
        <v>-2370</v>
      </c>
      <c r="I37" s="1">
        <f t="shared" si="10"/>
        <v>-2370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7550</v>
      </c>
      <c r="E39" s="6"/>
      <c r="F39" s="30" t="s">
        <v>317</v>
      </c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/>
      <c r="F48" s="7"/>
      <c r="H48" s="4">
        <v>19</v>
      </c>
      <c r="I48" s="1">
        <f>H48-C48</f>
        <v>19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/>
      <c r="F49" s="7"/>
      <c r="H49" s="4">
        <v>-2</v>
      </c>
      <c r="I49" s="1">
        <f t="shared" ref="I49:I54" si="11">H49-C49</f>
        <v>-2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/>
      <c r="F50" s="7"/>
      <c r="H50" s="4">
        <v>28</v>
      </c>
      <c r="I50" s="1">
        <f t="shared" si="11"/>
        <v>28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/>
      <c r="F51" s="7"/>
      <c r="H51" s="4">
        <v>38</v>
      </c>
      <c r="I51" s="1">
        <f t="shared" si="11"/>
        <v>38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/>
      <c r="F52" s="7"/>
      <c r="H52" s="4">
        <v>-11</v>
      </c>
      <c r="I52" s="1">
        <f t="shared" si="11"/>
        <v>-11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/>
      <c r="F53" s="7"/>
      <c r="H53" s="4">
        <v>-14</v>
      </c>
      <c r="I53" s="1">
        <f t="shared" si="11"/>
        <v>-14</v>
      </c>
    </row>
    <row r="54" spans="1:9" x14ac:dyDescent="0.3">
      <c r="A54" s="41"/>
      <c r="B54" s="41" t="s">
        <v>27</v>
      </c>
      <c r="C54" s="4">
        <v>5000</v>
      </c>
      <c r="D54" s="4">
        <v>0</v>
      </c>
      <c r="E54" s="6" t="s">
        <v>217</v>
      </c>
      <c r="F54" s="7" t="s">
        <v>318</v>
      </c>
      <c r="H54" s="4">
        <v>-707</v>
      </c>
      <c r="I54" s="1">
        <f t="shared" si="11"/>
        <v>-5707</v>
      </c>
    </row>
    <row r="55" spans="1:9" x14ac:dyDescent="0.3">
      <c r="A55" s="41"/>
      <c r="B55" s="41" t="s">
        <v>29</v>
      </c>
      <c r="C55" s="2">
        <f>SUM(C48:C54)</f>
        <v>5000</v>
      </c>
      <c r="D55" s="2">
        <f>SUM(D48:D54)</f>
        <v>0</v>
      </c>
      <c r="E55" s="6"/>
      <c r="F55" s="7"/>
      <c r="H55" s="2">
        <f>SUM(H48:H54)</f>
        <v>-649</v>
      </c>
      <c r="I55" s="2">
        <f>SUM(I48:I54)</f>
        <v>-5649</v>
      </c>
    </row>
    <row r="56" spans="1:9" x14ac:dyDescent="0.3">
      <c r="A56" s="41"/>
      <c r="B56" s="41" t="s">
        <v>30</v>
      </c>
      <c r="C56" s="4">
        <v>800</v>
      </c>
      <c r="D56" s="4">
        <v>0</v>
      </c>
      <c r="E56" s="6" t="s">
        <v>217</v>
      </c>
      <c r="F56" s="7" t="s">
        <v>319</v>
      </c>
      <c r="H56" s="4">
        <v>803</v>
      </c>
      <c r="I56" s="1">
        <f>H56-C56</f>
        <v>3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217</v>
      </c>
      <c r="F57" s="7" t="s">
        <v>320</v>
      </c>
      <c r="H57" s="4">
        <v>-4</v>
      </c>
      <c r="I57" s="1">
        <f t="shared" ref="I57:I62" si="12">H57-C57</f>
        <v>-4</v>
      </c>
    </row>
    <row r="58" spans="1:9" x14ac:dyDescent="0.3">
      <c r="A58" s="41"/>
      <c r="B58" s="41" t="s">
        <v>32</v>
      </c>
      <c r="C58" s="4"/>
      <c r="D58" s="4">
        <v>900</v>
      </c>
      <c r="E58" s="6" t="s">
        <v>321</v>
      </c>
      <c r="F58" s="7" t="s">
        <v>322</v>
      </c>
      <c r="H58" s="4">
        <v>12</v>
      </c>
      <c r="I58" s="1">
        <f t="shared" si="12"/>
        <v>12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217</v>
      </c>
      <c r="F59" s="7" t="s">
        <v>323</v>
      </c>
      <c r="H59" s="4"/>
      <c r="I59" s="1">
        <v>0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217</v>
      </c>
      <c r="F60" s="7" t="s">
        <v>324</v>
      </c>
      <c r="H60" s="4">
        <v>10</v>
      </c>
      <c r="I60" s="1">
        <f t="shared" si="12"/>
        <v>10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217</v>
      </c>
      <c r="F61" s="7" t="s">
        <v>325</v>
      </c>
      <c r="H61" s="4">
        <v>36</v>
      </c>
      <c r="I61" s="1">
        <f t="shared" si="12"/>
        <v>36</v>
      </c>
    </row>
    <row r="62" spans="1:9" x14ac:dyDescent="0.3">
      <c r="A62" s="41"/>
      <c r="B62" s="41" t="s">
        <v>37</v>
      </c>
      <c r="C62" s="4">
        <v>950</v>
      </c>
      <c r="D62" s="4">
        <v>0</v>
      </c>
      <c r="E62" s="6" t="s">
        <v>217</v>
      </c>
      <c r="F62" s="7" t="s">
        <v>326</v>
      </c>
      <c r="H62" s="4">
        <v>895</v>
      </c>
      <c r="I62" s="1">
        <f t="shared" si="12"/>
        <v>-55</v>
      </c>
    </row>
    <row r="63" spans="1:9" x14ac:dyDescent="0.3">
      <c r="A63" s="41"/>
      <c r="B63" s="41" t="s">
        <v>29</v>
      </c>
      <c r="C63" s="2">
        <f>SUM(C56:C62)</f>
        <v>1750</v>
      </c>
      <c r="D63" s="2">
        <f>SUM(D56:D62)</f>
        <v>900</v>
      </c>
      <c r="E63" s="6"/>
      <c r="F63" s="7"/>
      <c r="H63" s="2">
        <f>SUM(H56:H62)</f>
        <v>1752</v>
      </c>
      <c r="I63" s="2">
        <f>SUM(I56:I62)</f>
        <v>2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321</v>
      </c>
      <c r="F64" s="7" t="s">
        <v>327</v>
      </c>
      <c r="H64" s="4">
        <v>32</v>
      </c>
      <c r="I64" s="1">
        <f>H64-C64</f>
        <v>32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321</v>
      </c>
      <c r="F65" s="7" t="s">
        <v>328</v>
      </c>
      <c r="H65" s="4">
        <v>34</v>
      </c>
      <c r="I65" s="1">
        <f t="shared" ref="I65:I70" si="13">H65-C65</f>
        <v>34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217</v>
      </c>
      <c r="F66" s="7" t="s">
        <v>329</v>
      </c>
      <c r="H66" s="4">
        <v>17</v>
      </c>
      <c r="I66" s="1">
        <f t="shared" si="13"/>
        <v>17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217</v>
      </c>
      <c r="F67" s="7" t="s">
        <v>320</v>
      </c>
      <c r="H67" s="4">
        <v>-8</v>
      </c>
      <c r="I67" s="1">
        <f t="shared" si="13"/>
        <v>-8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217</v>
      </c>
      <c r="F68" s="7" t="s">
        <v>330</v>
      </c>
      <c r="H68" s="4">
        <v>-11</v>
      </c>
      <c r="I68" s="1">
        <f t="shared" si="13"/>
        <v>-11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217</v>
      </c>
      <c r="F69" s="7" t="s">
        <v>331</v>
      </c>
      <c r="H69" s="4">
        <v>-19</v>
      </c>
      <c r="I69" s="1">
        <f t="shared" si="13"/>
        <v>-19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217</v>
      </c>
      <c r="F70" s="7" t="s">
        <v>332</v>
      </c>
      <c r="H70" s="4">
        <v>15</v>
      </c>
      <c r="I70" s="1">
        <f t="shared" si="13"/>
        <v>15</v>
      </c>
    </row>
    <row r="71" spans="1:9" x14ac:dyDescent="0.3">
      <c r="A71" s="41"/>
      <c r="B71" s="41" t="s">
        <v>29</v>
      </c>
      <c r="C71" s="2">
        <f>SUM(C64:C70)</f>
        <v>0</v>
      </c>
      <c r="D71" s="2">
        <f>SUM(D64:D70)</f>
        <v>0</v>
      </c>
      <c r="E71" s="6"/>
      <c r="F71" s="7"/>
      <c r="H71" s="2">
        <f>SUM(H64:H70)</f>
        <v>60</v>
      </c>
      <c r="I71" s="2">
        <f>SUM(I64:I70)</f>
        <v>60</v>
      </c>
    </row>
    <row r="72" spans="1:9" x14ac:dyDescent="0.3">
      <c r="A72" s="41"/>
      <c r="B72" s="41" t="s">
        <v>46</v>
      </c>
      <c r="C72" s="4">
        <v>900</v>
      </c>
      <c r="D72" s="4">
        <v>1600</v>
      </c>
      <c r="E72" s="6" t="s">
        <v>217</v>
      </c>
      <c r="F72" s="7" t="s">
        <v>333</v>
      </c>
      <c r="H72" s="4">
        <v>-7</v>
      </c>
      <c r="I72" s="1">
        <f>H72-C72</f>
        <v>-907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217</v>
      </c>
      <c r="F73" s="7" t="s">
        <v>334</v>
      </c>
      <c r="H73" s="4">
        <v>67</v>
      </c>
      <c r="I73" s="1">
        <f t="shared" ref="I73:I78" si="14">H73-C73</f>
        <v>67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217</v>
      </c>
      <c r="F74" s="7" t="s">
        <v>335</v>
      </c>
      <c r="H74" s="4">
        <v>16</v>
      </c>
      <c r="I74" s="1">
        <f t="shared" si="14"/>
        <v>16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217</v>
      </c>
      <c r="F75" s="7" t="s">
        <v>336</v>
      </c>
      <c r="H75" s="4">
        <v>6</v>
      </c>
      <c r="I75" s="1">
        <f t="shared" si="14"/>
        <v>6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321</v>
      </c>
      <c r="F76" s="7" t="s">
        <v>337</v>
      </c>
      <c r="H76" s="4">
        <v>6</v>
      </c>
      <c r="I76" s="1">
        <f t="shared" si="14"/>
        <v>6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321</v>
      </c>
      <c r="F77" s="7" t="s">
        <v>338</v>
      </c>
      <c r="H77" s="4">
        <v>10</v>
      </c>
      <c r="I77" s="1">
        <f t="shared" si="14"/>
        <v>10</v>
      </c>
    </row>
    <row r="78" spans="1:9" x14ac:dyDescent="0.3">
      <c r="A78" s="41"/>
      <c r="B78" s="41" t="s">
        <v>54</v>
      </c>
      <c r="C78" s="4">
        <v>800</v>
      </c>
      <c r="D78" s="4">
        <v>0</v>
      </c>
      <c r="E78" s="6" t="s">
        <v>321</v>
      </c>
      <c r="F78" s="7" t="s">
        <v>339</v>
      </c>
      <c r="H78" s="4">
        <v>830</v>
      </c>
      <c r="I78" s="1">
        <f t="shared" si="14"/>
        <v>30</v>
      </c>
    </row>
    <row r="79" spans="1:9" x14ac:dyDescent="0.3">
      <c r="A79" s="41"/>
      <c r="B79" s="41" t="s">
        <v>11</v>
      </c>
      <c r="C79" s="2">
        <f>SUM(C72:C78)</f>
        <v>1700</v>
      </c>
      <c r="D79" s="2">
        <f>SUM(D72:D78)</f>
        <v>1600</v>
      </c>
      <c r="E79" s="6"/>
      <c r="F79" s="7"/>
      <c r="H79" s="2">
        <f t="shared" ref="H79:I79" si="15">SUM(H72:H78)</f>
        <v>928</v>
      </c>
      <c r="I79" s="2">
        <f t="shared" si="15"/>
        <v>-772</v>
      </c>
    </row>
    <row r="80" spans="1:9" x14ac:dyDescent="0.3">
      <c r="A80" s="41"/>
      <c r="B80" s="41" t="s">
        <v>12</v>
      </c>
      <c r="C80" s="3">
        <f>SUM(C79+C71+C63+C55)</f>
        <v>8450</v>
      </c>
      <c r="D80" s="3">
        <f>SUM(D79+D71+D63+D55)</f>
        <v>2500</v>
      </c>
      <c r="E80" s="6"/>
      <c r="F80" s="7"/>
      <c r="H80" s="3">
        <f t="shared" ref="H80:I80" si="16">SUM(H79+H71+H63+H55)</f>
        <v>2091</v>
      </c>
      <c r="I80" s="3">
        <f t="shared" si="16"/>
        <v>-6359</v>
      </c>
    </row>
    <row r="81" spans="1:9" x14ac:dyDescent="0.3">
      <c r="A81" s="41"/>
      <c r="B81" s="41" t="s">
        <v>13</v>
      </c>
      <c r="C81" s="1">
        <f>D80+C80</f>
        <v>10950</v>
      </c>
      <c r="E81" s="24"/>
      <c r="F81" s="25"/>
      <c r="H81" s="1">
        <f t="shared" ref="H81:I81" si="17">I80+H80</f>
        <v>-4268</v>
      </c>
      <c r="I81" s="1">
        <f t="shared" si="17"/>
        <v>-6359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15</v>
      </c>
      <c r="C83" s="49">
        <v>1600</v>
      </c>
      <c r="D83" s="41"/>
      <c r="E83" s="43" t="s">
        <v>340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/>
      <c r="E92" s="6" t="s">
        <v>321</v>
      </c>
      <c r="F92" s="7" t="s">
        <v>341</v>
      </c>
      <c r="H92" s="4">
        <v>-2</v>
      </c>
      <c r="I92" s="1">
        <f>H92-C92</f>
        <v>-2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321</v>
      </c>
      <c r="F93" s="7" t="s">
        <v>342</v>
      </c>
      <c r="H93" s="4">
        <v>7</v>
      </c>
      <c r="I93" s="1">
        <f t="shared" ref="I93:I98" si="18">H93-C93</f>
        <v>7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217</v>
      </c>
      <c r="F94" s="7" t="s">
        <v>343</v>
      </c>
      <c r="H94" s="4">
        <v>45</v>
      </c>
      <c r="I94" s="1">
        <f t="shared" si="18"/>
        <v>45</v>
      </c>
    </row>
    <row r="95" spans="1:9" x14ac:dyDescent="0.3">
      <c r="A95" s="41"/>
      <c r="B95" s="41" t="s">
        <v>63</v>
      </c>
      <c r="C95" s="4">
        <v>0</v>
      </c>
      <c r="D95" s="4">
        <v>1490</v>
      </c>
      <c r="E95" s="6" t="s">
        <v>217</v>
      </c>
      <c r="F95" s="7" t="s">
        <v>344</v>
      </c>
      <c r="H95" s="4">
        <v>-20</v>
      </c>
      <c r="I95" s="1">
        <f t="shared" si="18"/>
        <v>-20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217</v>
      </c>
      <c r="F96" s="7" t="s">
        <v>345</v>
      </c>
      <c r="H96" s="4">
        <v>4</v>
      </c>
      <c r="I96" s="1">
        <f t="shared" si="18"/>
        <v>4</v>
      </c>
    </row>
    <row r="97" spans="1:9" x14ac:dyDescent="0.3">
      <c r="A97" s="41"/>
      <c r="B97" s="41" t="s">
        <v>65</v>
      </c>
      <c r="C97" s="4">
        <v>0</v>
      </c>
      <c r="D97" s="4">
        <v>0</v>
      </c>
      <c r="E97" s="6" t="s">
        <v>217</v>
      </c>
      <c r="F97" s="7" t="s">
        <v>346</v>
      </c>
      <c r="H97" s="4">
        <v>24</v>
      </c>
      <c r="I97" s="1">
        <f t="shared" si="18"/>
        <v>24</v>
      </c>
    </row>
    <row r="98" spans="1:9" x14ac:dyDescent="0.3">
      <c r="A98" s="41"/>
      <c r="B98" s="41" t="s">
        <v>66</v>
      </c>
      <c r="C98" s="4">
        <v>0</v>
      </c>
      <c r="D98" s="4">
        <v>0</v>
      </c>
      <c r="E98" s="6"/>
      <c r="F98" s="7"/>
      <c r="H98" s="4">
        <v>0</v>
      </c>
      <c r="I98" s="1">
        <f t="shared" si="18"/>
        <v>0</v>
      </c>
    </row>
    <row r="99" spans="1:9" x14ac:dyDescent="0.3">
      <c r="A99" s="41"/>
      <c r="B99" s="41" t="s">
        <v>29</v>
      </c>
      <c r="C99" s="2">
        <f>SUM(C92:C98)</f>
        <v>0</v>
      </c>
      <c r="D99" s="2">
        <f>SUM(D92:D98)</f>
        <v>1490</v>
      </c>
      <c r="E99" s="6"/>
      <c r="F99" s="7"/>
      <c r="H99" s="2">
        <f>SUM(H92:H98)</f>
        <v>58</v>
      </c>
      <c r="I99" s="2">
        <f>SUM(I92:I98)</f>
        <v>58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"/>
      <c r="F100" s="7"/>
      <c r="H100" s="4">
        <v>0</v>
      </c>
      <c r="I100" s="1">
        <f>H100-C100</f>
        <v>0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19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19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19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9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9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9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0</v>
      </c>
      <c r="I107" s="2">
        <f>SUM(I100:I106)</f>
        <v>0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0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0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0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0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0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0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1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1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1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1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1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21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2">SUM(H116:H122)</f>
        <v>0</v>
      </c>
      <c r="I123" s="2">
        <f t="shared" si="22"/>
        <v>0</v>
      </c>
    </row>
    <row r="124" spans="1:9" x14ac:dyDescent="0.3">
      <c r="A124" s="41"/>
      <c r="B124" s="41" t="s">
        <v>12</v>
      </c>
      <c r="C124" s="3">
        <f>SUM(C123+C115+C107+C99)</f>
        <v>0</v>
      </c>
      <c r="D124" s="3">
        <f>SUM(D123+D115+D107+D99)</f>
        <v>1490</v>
      </c>
      <c r="E124" s="6"/>
      <c r="F124" s="7"/>
      <c r="H124" s="3">
        <f t="shared" ref="H124:I124" si="23">SUM(H123+H115+H107+H99)</f>
        <v>58</v>
      </c>
      <c r="I124" s="3">
        <f t="shared" si="23"/>
        <v>58</v>
      </c>
    </row>
    <row r="125" spans="1:9" x14ac:dyDescent="0.3">
      <c r="A125" s="41"/>
      <c r="B125" s="41" t="s">
        <v>13</v>
      </c>
      <c r="C125" s="1">
        <f>D124+C124</f>
        <v>1490</v>
      </c>
      <c r="E125" s="24"/>
      <c r="F125" s="25"/>
      <c r="H125" s="1">
        <f t="shared" ref="H125:I125" si="24">I124+H124</f>
        <v>116</v>
      </c>
      <c r="I125" s="1">
        <f t="shared" si="24"/>
        <v>58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5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5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5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5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5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5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6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6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6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6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6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6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7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7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7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7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7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7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8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8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8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8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8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8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9">SUM(H160:H166)</f>
        <v>0</v>
      </c>
      <c r="I167" s="2">
        <f t="shared" si="29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0">SUM(H167+H159+H151+H143)</f>
        <v>0</v>
      </c>
      <c r="I168" s="3">
        <f t="shared" si="30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1">I168+H168</f>
        <v>0</v>
      </c>
      <c r="I169" s="1">
        <f t="shared" si="31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2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2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2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2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2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2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3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3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3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3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3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3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4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4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4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4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4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4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5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5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5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5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5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5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6">SUM(H204:H210)</f>
        <v>0</v>
      </c>
      <c r="I211" s="2">
        <f t="shared" si="36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7">SUM(H211+H203+H195+H187)</f>
        <v>0</v>
      </c>
      <c r="I212" s="3">
        <f t="shared" si="37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8">I212+H212</f>
        <v>0</v>
      </c>
      <c r="I213" s="1">
        <f t="shared" si="38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51A26C-3BFD-45ED-9527-A1FE22D54E3D}">
  <sheetPr codeName="Sheet13"/>
  <dimension ref="A1:I222"/>
  <sheetViews>
    <sheetView showGridLines="0" zoomScale="186" workbookViewId="0">
      <pane xSplit="3" ySplit="3" topLeftCell="D83" activePane="bottomRight" state="frozen"/>
      <selection pane="topRight" activeCell="C23" sqref="C23"/>
      <selection pane="bottomLeft" activeCell="C23" sqref="C23"/>
      <selection pane="bottomRight" activeCell="K101" sqref="K101"/>
    </sheetView>
  </sheetViews>
  <sheetFormatPr defaultColWidth="8.88671875" defaultRowHeight="14.4" x14ac:dyDescent="0.3"/>
  <cols>
    <col min="1" max="1" width="0.88671875" customWidth="1"/>
    <col min="2" max="2" width="34.109375" style="16" customWidth="1"/>
    <col min="3" max="3" width="15.44140625" customWidth="1"/>
    <col min="4" max="4" width="11" customWidth="1"/>
    <col min="6" max="6" width="68.33203125" customWidth="1"/>
    <col min="7" max="7" width="0.88671875" customWidth="1"/>
    <col min="8" max="8" width="9" bestFit="1" customWidth="1"/>
    <col min="9" max="9" width="9.44140625" customWidth="1"/>
  </cols>
  <sheetData>
    <row r="1" spans="2:9" ht="18.75" customHeight="1" x14ac:dyDescent="0.3">
      <c r="B1" s="15"/>
      <c r="C1" s="14" t="s">
        <v>347</v>
      </c>
      <c r="D1" s="14"/>
    </row>
    <row r="2" spans="2:9" x14ac:dyDescent="0.3">
      <c r="C2" s="5" t="s">
        <v>1</v>
      </c>
      <c r="D2" s="5"/>
    </row>
    <row r="3" spans="2:9" ht="86.4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-700</v>
      </c>
      <c r="D5" s="65"/>
      <c r="E5" s="6"/>
      <c r="F5" s="64" t="s">
        <v>348</v>
      </c>
      <c r="H5" s="4"/>
      <c r="I5" s="1">
        <f t="shared" ref="I5:I10" si="0">H5-C5</f>
        <v>700</v>
      </c>
    </row>
    <row r="6" spans="2:9" x14ac:dyDescent="0.3">
      <c r="B6" s="20">
        <f t="shared" ref="B6:B10" si="1">B5+1</f>
        <v>46245</v>
      </c>
      <c r="C6" s="4">
        <v>0</v>
      </c>
      <c r="D6" s="4">
        <v>700</v>
      </c>
      <c r="E6" s="6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/>
      <c r="I7" s="1">
        <f t="shared" si="0"/>
        <v>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/>
      <c r="I9" s="1">
        <f t="shared" si="0"/>
        <v>0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/>
      <c r="I10" s="1">
        <f t="shared" si="0"/>
        <v>0</v>
      </c>
    </row>
    <row r="11" spans="2:9" x14ac:dyDescent="0.3">
      <c r="B11" s="21" t="s">
        <v>11</v>
      </c>
      <c r="C11" s="2">
        <f>SUM(C4:C10)</f>
        <v>-700</v>
      </c>
      <c r="D11" s="2">
        <f>SUM(D4:D10)</f>
        <v>700</v>
      </c>
      <c r="E11" s="6"/>
      <c r="F11" s="7"/>
      <c r="H11" s="2">
        <f>SUM(H4:H10)</f>
        <v>0</v>
      </c>
      <c r="I11" s="2">
        <f>SUM(I4:I10)</f>
        <v>700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/>
      <c r="I16" s="1">
        <f t="shared" si="2"/>
        <v>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0</v>
      </c>
      <c r="D19" s="2">
        <f>SUM(D12:D18)</f>
        <v>0</v>
      </c>
      <c r="E19" s="6"/>
      <c r="F19" s="7"/>
      <c r="H19" s="2">
        <f>SUM(H12:H18)</f>
        <v>0</v>
      </c>
      <c r="I19" s="2">
        <f>SUM(I12:I18)</f>
        <v>0</v>
      </c>
    </row>
    <row r="20" spans="2:9" x14ac:dyDescent="0.3">
      <c r="B20" s="20">
        <f>B18+1</f>
        <v>46257</v>
      </c>
      <c r="C20" s="4">
        <v>-700</v>
      </c>
      <c r="D20" s="4">
        <v>0</v>
      </c>
      <c r="E20" s="6"/>
      <c r="F20" s="7"/>
      <c r="H20" s="4"/>
      <c r="I20" s="1">
        <f>H20-C20</f>
        <v>700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700</v>
      </c>
      <c r="E22" s="6"/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/>
      <c r="F23" s="7"/>
      <c r="H23" s="4"/>
      <c r="I23" s="1">
        <f t="shared" si="4"/>
        <v>0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/>
      <c r="I24" s="1">
        <f t="shared" si="4"/>
        <v>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/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/>
      <c r="I26" s="1">
        <f t="shared" si="4"/>
        <v>0</v>
      </c>
    </row>
    <row r="27" spans="2:9" x14ac:dyDescent="0.3">
      <c r="B27" s="21" t="s">
        <v>11</v>
      </c>
      <c r="C27" s="2">
        <f>SUM(C20:C26)</f>
        <v>-700</v>
      </c>
      <c r="D27" s="2">
        <f>SUM(D20:D26)</f>
        <v>700</v>
      </c>
      <c r="E27" s="6" t="s">
        <v>349</v>
      </c>
      <c r="F27" s="7"/>
      <c r="H27" s="2">
        <f>SUM(H20:H26)</f>
        <v>0</v>
      </c>
      <c r="I27" s="2">
        <f>SUM(I20:I26)</f>
        <v>700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/>
      <c r="I28" s="1">
        <f>H28-C28</f>
        <v>0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/>
      <c r="I29" s="1">
        <f t="shared" ref="I29:I34" si="6">H29-C29</f>
        <v>0</v>
      </c>
    </row>
    <row r="30" spans="2:9" x14ac:dyDescent="0.3">
      <c r="B30" s="20">
        <f t="shared" ref="B30:B34" si="7">B29+1</f>
        <v>46266</v>
      </c>
      <c r="C30" s="4">
        <v>0</v>
      </c>
      <c r="D30" s="4">
        <v>700</v>
      </c>
      <c r="E30" s="6" t="s">
        <v>349</v>
      </c>
      <c r="F30" s="7"/>
      <c r="H30" s="4"/>
      <c r="I30" s="1">
        <f t="shared" si="6"/>
        <v>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/>
      <c r="I31" s="1">
        <f t="shared" si="6"/>
        <v>0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/>
      <c r="I32" s="1">
        <f t="shared" si="6"/>
        <v>0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/>
      <c r="I33" s="1">
        <f t="shared" si="6"/>
        <v>0</v>
      </c>
    </row>
    <row r="34" spans="1:9" ht="15" thickBot="1" x14ac:dyDescent="0.35">
      <c r="B34" s="20">
        <f t="shared" si="7"/>
        <v>46270</v>
      </c>
      <c r="C34" s="4">
        <v>0</v>
      </c>
      <c r="D34" s="4">
        <v>0</v>
      </c>
      <c r="E34" s="6"/>
      <c r="F34" s="7"/>
      <c r="H34" s="4"/>
      <c r="I34" s="1">
        <f t="shared" si="6"/>
        <v>0</v>
      </c>
    </row>
    <row r="35" spans="1:9" x14ac:dyDescent="0.3">
      <c r="B35" s="19" t="s">
        <v>11</v>
      </c>
      <c r="C35" s="2">
        <f>SUM(C28:C34)</f>
        <v>0</v>
      </c>
      <c r="D35" s="2">
        <f>SUM(D28:D34)</f>
        <v>700</v>
      </c>
      <c r="E35" s="6"/>
      <c r="F35" s="7"/>
      <c r="H35" s="2">
        <f t="shared" ref="H35:I35" si="8">SUM(H28:H34)</f>
        <v>0</v>
      </c>
      <c r="I35" s="2">
        <f t="shared" si="8"/>
        <v>0</v>
      </c>
    </row>
    <row r="36" spans="1:9" x14ac:dyDescent="0.3">
      <c r="B36" s="19" t="s">
        <v>12</v>
      </c>
      <c r="C36" s="3">
        <f>SUM(C35+C27+C19+C11)</f>
        <v>-1400</v>
      </c>
      <c r="D36" s="3">
        <f>SUM(D35+D27+D19+D11)</f>
        <v>2100</v>
      </c>
      <c r="E36" s="6"/>
      <c r="F36" s="7"/>
      <c r="H36" s="3">
        <f t="shared" ref="H36:I36" si="9">SUM(H35+H27+H19+H11)</f>
        <v>0</v>
      </c>
      <c r="I36" s="3">
        <f t="shared" si="9"/>
        <v>1400</v>
      </c>
    </row>
    <row r="37" spans="1:9" ht="15" thickBot="1" x14ac:dyDescent="0.35">
      <c r="B37" s="19" t="s">
        <v>13</v>
      </c>
      <c r="C37" s="1">
        <f>D36+C36</f>
        <v>700</v>
      </c>
      <c r="E37" s="24"/>
      <c r="F37" s="25"/>
      <c r="H37" s="1">
        <f t="shared" ref="H37:I37" si="10">I36+H36</f>
        <v>1400</v>
      </c>
      <c r="I37" s="1">
        <f t="shared" si="10"/>
        <v>1400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1400</v>
      </c>
      <c r="E39" s="6" t="s">
        <v>349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350</v>
      </c>
      <c r="F48" s="7"/>
      <c r="H48" s="4">
        <v>27</v>
      </c>
      <c r="I48" s="1">
        <f>H48-C48</f>
        <v>27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350</v>
      </c>
      <c r="F49" s="7"/>
      <c r="H49" s="4">
        <v>-75</v>
      </c>
      <c r="I49" s="1">
        <f t="shared" ref="I49:I54" si="11">H49-C49</f>
        <v>-75</v>
      </c>
    </row>
    <row r="50" spans="1:9" x14ac:dyDescent="0.3">
      <c r="A50" s="41"/>
      <c r="B50" s="41" t="s">
        <v>23</v>
      </c>
      <c r="C50" s="4">
        <v>0</v>
      </c>
      <c r="D50" s="4">
        <v>700</v>
      </c>
      <c r="E50" s="6" t="s">
        <v>349</v>
      </c>
      <c r="F50" s="80" t="s">
        <v>351</v>
      </c>
      <c r="H50" s="4">
        <v>12</v>
      </c>
      <c r="I50" s="1">
        <f t="shared" si="11"/>
        <v>12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 t="s">
        <v>349</v>
      </c>
      <c r="F51" s="7"/>
      <c r="H51" s="4">
        <v>-673</v>
      </c>
      <c r="I51" s="1">
        <f t="shared" si="11"/>
        <v>-673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 t="s">
        <v>349</v>
      </c>
      <c r="F52" s="7"/>
      <c r="H52" s="4">
        <v>-36</v>
      </c>
      <c r="I52" s="1">
        <f t="shared" si="11"/>
        <v>-36</v>
      </c>
    </row>
    <row r="53" spans="1:9" x14ac:dyDescent="0.3">
      <c r="A53" s="41"/>
      <c r="B53" s="41" t="s">
        <v>26</v>
      </c>
      <c r="C53" s="4">
        <v>700</v>
      </c>
      <c r="D53" s="4"/>
      <c r="E53" s="6" t="s">
        <v>349</v>
      </c>
      <c r="F53" s="7" t="s">
        <v>352</v>
      </c>
      <c r="H53" s="4">
        <v>1358</v>
      </c>
      <c r="I53" s="1">
        <f t="shared" si="11"/>
        <v>658</v>
      </c>
    </row>
    <row r="54" spans="1:9" x14ac:dyDescent="0.3">
      <c r="A54" s="41"/>
      <c r="B54" s="41" t="s">
        <v>27</v>
      </c>
      <c r="C54" s="4">
        <v>0</v>
      </c>
      <c r="D54" s="4">
        <v>0</v>
      </c>
      <c r="E54" s="6" t="s">
        <v>350</v>
      </c>
      <c r="F54" s="7"/>
      <c r="H54" s="4">
        <v>-120</v>
      </c>
      <c r="I54" s="1">
        <f t="shared" si="11"/>
        <v>-120</v>
      </c>
    </row>
    <row r="55" spans="1:9" x14ac:dyDescent="0.3">
      <c r="A55" s="41"/>
      <c r="B55" s="41" t="s">
        <v>29</v>
      </c>
      <c r="C55" s="2">
        <f>SUM(C48:C54)</f>
        <v>700</v>
      </c>
      <c r="D55" s="2">
        <f>SUM(D48:D54)</f>
        <v>700</v>
      </c>
      <c r="E55" s="6"/>
      <c r="F55" s="7"/>
      <c r="H55" s="2">
        <f>SUM(H48:H54)</f>
        <v>493</v>
      </c>
      <c r="I55" s="2">
        <f>SUM(I48:I54)</f>
        <v>-207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350</v>
      </c>
      <c r="F56" s="7"/>
      <c r="H56" s="4">
        <v>-9</v>
      </c>
      <c r="I56" s="1">
        <f>H56-C56</f>
        <v>-9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349</v>
      </c>
      <c r="F57" s="7"/>
      <c r="H57" s="4">
        <v>8</v>
      </c>
      <c r="I57" s="1">
        <f t="shared" ref="I57:I62" si="12">H57-C57</f>
        <v>8</v>
      </c>
    </row>
    <row r="58" spans="1:9" x14ac:dyDescent="0.3">
      <c r="A58" s="41"/>
      <c r="B58" s="41" t="s">
        <v>32</v>
      </c>
      <c r="C58" s="4">
        <v>0</v>
      </c>
      <c r="D58" s="4">
        <v>700</v>
      </c>
      <c r="E58" s="6" t="s">
        <v>349</v>
      </c>
      <c r="F58" s="80" t="s">
        <v>351</v>
      </c>
      <c r="H58" s="4">
        <v>25</v>
      </c>
      <c r="I58" s="1">
        <f t="shared" si="12"/>
        <v>25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349</v>
      </c>
      <c r="F59" s="7"/>
      <c r="H59" s="4">
        <v>21</v>
      </c>
      <c r="I59" s="1">
        <f t="shared" si="12"/>
        <v>21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350</v>
      </c>
      <c r="F60" s="7"/>
      <c r="H60" s="4">
        <v>-85.9</v>
      </c>
      <c r="I60" s="1">
        <f t="shared" si="12"/>
        <v>-85.9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350</v>
      </c>
      <c r="F61" s="7"/>
      <c r="H61" s="4">
        <v>-0.24</v>
      </c>
      <c r="I61" s="1">
        <f t="shared" si="12"/>
        <v>-0.24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350</v>
      </c>
      <c r="F62" s="7"/>
      <c r="H62" s="4">
        <v>-78.17</v>
      </c>
      <c r="I62" s="1">
        <f t="shared" si="12"/>
        <v>-78.17</v>
      </c>
    </row>
    <row r="63" spans="1:9" x14ac:dyDescent="0.3">
      <c r="A63" s="41"/>
      <c r="B63" s="41" t="s">
        <v>29</v>
      </c>
      <c r="C63" s="2">
        <f>SUM(C56:C62)</f>
        <v>0</v>
      </c>
      <c r="D63" s="2">
        <f>SUM(D56:D62)</f>
        <v>700</v>
      </c>
      <c r="E63" s="6"/>
      <c r="F63" s="7"/>
      <c r="H63" s="2">
        <f>SUM(H56:H62)</f>
        <v>-119.31</v>
      </c>
      <c r="I63" s="2">
        <f>SUM(I56:I62)</f>
        <v>-119.31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349</v>
      </c>
      <c r="F64" s="7" t="s">
        <v>353</v>
      </c>
      <c r="H64" s="4">
        <v>1355</v>
      </c>
      <c r="I64" s="1">
        <f>H64-C64</f>
        <v>1355</v>
      </c>
    </row>
    <row r="65" spans="1:9" x14ac:dyDescent="0.3">
      <c r="A65" s="41"/>
      <c r="B65" s="41" t="s">
        <v>39</v>
      </c>
      <c r="C65" s="4">
        <v>700</v>
      </c>
      <c r="D65" s="4">
        <v>0</v>
      </c>
      <c r="E65" s="6" t="s">
        <v>349</v>
      </c>
      <c r="F65" s="7" t="s">
        <v>352</v>
      </c>
      <c r="H65" s="4">
        <v>40</v>
      </c>
      <c r="I65" s="1">
        <f t="shared" ref="I65:I70" si="13">H65-C65</f>
        <v>-660</v>
      </c>
    </row>
    <row r="66" spans="1:9" x14ac:dyDescent="0.3">
      <c r="A66" s="41"/>
      <c r="B66" s="41" t="s">
        <v>40</v>
      </c>
      <c r="C66" s="4">
        <v>0</v>
      </c>
      <c r="D66" s="4">
        <v>700</v>
      </c>
      <c r="E66" s="6" t="s">
        <v>349</v>
      </c>
      <c r="F66" s="7" t="s">
        <v>351</v>
      </c>
      <c r="H66" s="4">
        <v>128</v>
      </c>
      <c r="I66" s="1">
        <f t="shared" si="13"/>
        <v>128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350</v>
      </c>
      <c r="F67" s="7"/>
      <c r="H67" s="4">
        <v>65</v>
      </c>
      <c r="I67" s="1">
        <f t="shared" si="13"/>
        <v>65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350</v>
      </c>
      <c r="F68" s="7"/>
      <c r="H68" s="4">
        <v>66</v>
      </c>
      <c r="I68" s="1">
        <f t="shared" si="13"/>
        <v>66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350</v>
      </c>
      <c r="F69" s="7"/>
      <c r="H69" s="4">
        <v>215</v>
      </c>
      <c r="I69" s="1">
        <f t="shared" si="13"/>
        <v>215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350</v>
      </c>
      <c r="F70" s="7"/>
      <c r="H70" s="4">
        <v>1384</v>
      </c>
      <c r="I70" s="1">
        <f t="shared" si="13"/>
        <v>1384</v>
      </c>
    </row>
    <row r="71" spans="1:9" x14ac:dyDescent="0.3">
      <c r="A71" s="41"/>
      <c r="B71" s="41" t="s">
        <v>29</v>
      </c>
      <c r="C71" s="2">
        <f>SUM(C64:C70)</f>
        <v>700</v>
      </c>
      <c r="D71" s="2">
        <f>SUM(D64:D70)</f>
        <v>700</v>
      </c>
      <c r="E71" s="6"/>
      <c r="F71" s="7"/>
      <c r="H71" s="2">
        <f>SUM(H64:H70)</f>
        <v>3253</v>
      </c>
      <c r="I71" s="2">
        <f>SUM(I64:I70)</f>
        <v>2553</v>
      </c>
    </row>
    <row r="72" spans="1:9" x14ac:dyDescent="0.3">
      <c r="A72" s="41"/>
      <c r="B72" s="41" t="s">
        <v>46</v>
      </c>
      <c r="C72" s="4">
        <v>700</v>
      </c>
      <c r="D72" s="4">
        <v>0</v>
      </c>
      <c r="E72" s="86" t="s">
        <v>349</v>
      </c>
      <c r="F72" s="87" t="s">
        <v>354</v>
      </c>
      <c r="G72" s="88"/>
      <c r="H72" s="90">
        <v>-112</v>
      </c>
      <c r="I72" s="1">
        <f>H72-C72</f>
        <v>-812</v>
      </c>
    </row>
    <row r="73" spans="1:9" x14ac:dyDescent="0.3">
      <c r="A73" s="41"/>
      <c r="B73" s="41" t="s">
        <v>47</v>
      </c>
      <c r="C73" s="4"/>
      <c r="D73" s="4">
        <v>700</v>
      </c>
      <c r="E73" s="91" t="s">
        <v>355</v>
      </c>
      <c r="F73" s="92" t="s">
        <v>356</v>
      </c>
      <c r="G73" s="88"/>
      <c r="H73" s="90">
        <v>28</v>
      </c>
      <c r="I73" s="1">
        <f t="shared" ref="I73:I78" si="14">H73-C73</f>
        <v>28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91" t="s">
        <v>349</v>
      </c>
      <c r="F74" s="92" t="s">
        <v>357</v>
      </c>
      <c r="G74" s="88"/>
      <c r="H74" s="90">
        <v>-759</v>
      </c>
      <c r="I74" s="1">
        <f t="shared" si="14"/>
        <v>-759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91" t="s">
        <v>349</v>
      </c>
      <c r="F75" s="92" t="s">
        <v>358</v>
      </c>
      <c r="G75" s="88"/>
      <c r="H75" s="89">
        <v>0</v>
      </c>
      <c r="I75" s="1">
        <f t="shared" si="14"/>
        <v>0</v>
      </c>
    </row>
    <row r="76" spans="1:9" x14ac:dyDescent="0.3">
      <c r="A76" s="41"/>
      <c r="B76" s="41" t="s">
        <v>51</v>
      </c>
      <c r="C76" s="4">
        <v>700</v>
      </c>
      <c r="D76" s="4">
        <v>0</v>
      </c>
      <c r="E76" s="91" t="s">
        <v>350</v>
      </c>
      <c r="F76" s="92" t="s">
        <v>359</v>
      </c>
      <c r="G76" s="88"/>
      <c r="H76" s="90">
        <v>561</v>
      </c>
      <c r="I76" s="1">
        <f t="shared" si="14"/>
        <v>-139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91" t="s">
        <v>350</v>
      </c>
      <c r="F77" s="92" t="s">
        <v>360</v>
      </c>
      <c r="G77" s="88"/>
      <c r="H77" s="90">
        <v>-524</v>
      </c>
      <c r="I77" s="1">
        <f t="shared" si="14"/>
        <v>-524</v>
      </c>
    </row>
    <row r="78" spans="1:9" x14ac:dyDescent="0.3">
      <c r="A78" s="41"/>
      <c r="B78" s="41" t="s">
        <v>54</v>
      </c>
      <c r="C78" s="4"/>
      <c r="D78" s="4">
        <v>0</v>
      </c>
      <c r="E78" s="91" t="s">
        <v>350</v>
      </c>
      <c r="F78" s="92" t="s">
        <v>361</v>
      </c>
      <c r="G78" s="88"/>
      <c r="H78" s="90">
        <v>-40</v>
      </c>
      <c r="I78" s="1">
        <f t="shared" si="14"/>
        <v>-40</v>
      </c>
    </row>
    <row r="79" spans="1:9" x14ac:dyDescent="0.3">
      <c r="A79" s="41"/>
      <c r="B79" s="41" t="s">
        <v>11</v>
      </c>
      <c r="C79" s="2">
        <f>SUM(C72:C78)</f>
        <v>1400</v>
      </c>
      <c r="D79" s="2">
        <f>SUM(D72:D78)</f>
        <v>700</v>
      </c>
      <c r="E79" s="6"/>
      <c r="F79" s="7"/>
      <c r="H79" s="2">
        <f t="shared" ref="H79:I79" si="15">SUM(H72:H78)</f>
        <v>-846</v>
      </c>
      <c r="I79" s="2">
        <f t="shared" si="15"/>
        <v>-2246</v>
      </c>
    </row>
    <row r="80" spans="1:9" x14ac:dyDescent="0.3">
      <c r="A80" s="41"/>
      <c r="B80" s="41" t="s">
        <v>12</v>
      </c>
      <c r="C80" s="3">
        <f>SUM(C79+C71+C63+C55)</f>
        <v>2800</v>
      </c>
      <c r="D80" s="3">
        <f>SUM(D79+D71+D63+D55)</f>
        <v>2800</v>
      </c>
      <c r="E80" s="6"/>
      <c r="F80" s="7"/>
      <c r="H80" s="3">
        <f t="shared" ref="H80:I80" si="16">SUM(H79+H71+H63+H55)</f>
        <v>2780.69</v>
      </c>
      <c r="I80" s="3">
        <f t="shared" si="16"/>
        <v>-19.310000000000002</v>
      </c>
    </row>
    <row r="81" spans="1:9" x14ac:dyDescent="0.3">
      <c r="A81" s="41"/>
      <c r="B81" s="41" t="s">
        <v>13</v>
      </c>
      <c r="C81" s="1">
        <f>D80+C80</f>
        <v>5600</v>
      </c>
      <c r="E81" s="24"/>
      <c r="F81" s="25"/>
      <c r="H81" s="1">
        <f t="shared" ref="H81:I81" si="17">I80+H80</f>
        <v>2761.38</v>
      </c>
      <c r="I81" s="1">
        <f t="shared" si="17"/>
        <v>-19.310000000000002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700</v>
      </c>
      <c r="D83" s="41"/>
      <c r="E83" s="43" t="s">
        <v>355</v>
      </c>
      <c r="F83" s="50"/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200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349</v>
      </c>
      <c r="F92" s="7" t="s">
        <v>362</v>
      </c>
      <c r="H92" s="4">
        <v>49</v>
      </c>
      <c r="I92" s="1">
        <f>H92-C92</f>
        <v>49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349</v>
      </c>
      <c r="F93" s="7" t="s">
        <v>363</v>
      </c>
      <c r="H93" s="4">
        <v>-60</v>
      </c>
      <c r="I93" s="1">
        <f t="shared" ref="I93:I98" si="18">H93-C93</f>
        <v>-60</v>
      </c>
    </row>
    <row r="94" spans="1:9" x14ac:dyDescent="0.3">
      <c r="A94" s="41"/>
      <c r="B94" s="41" t="s">
        <v>61</v>
      </c>
      <c r="C94" s="4">
        <v>0</v>
      </c>
      <c r="D94" s="4">
        <v>700</v>
      </c>
      <c r="E94" s="6" t="s">
        <v>349</v>
      </c>
      <c r="F94" s="7" t="s">
        <v>364</v>
      </c>
      <c r="H94" s="4">
        <v>578</v>
      </c>
      <c r="I94" s="1">
        <f t="shared" si="18"/>
        <v>578</v>
      </c>
    </row>
    <row r="95" spans="1:9" x14ac:dyDescent="0.3">
      <c r="A95" s="41"/>
      <c r="B95" s="41" t="s">
        <v>63</v>
      </c>
      <c r="C95" s="4">
        <v>700</v>
      </c>
      <c r="D95" s="4">
        <v>0</v>
      </c>
      <c r="E95" s="6" t="s">
        <v>349</v>
      </c>
      <c r="F95" s="7" t="s">
        <v>365</v>
      </c>
      <c r="H95" s="4">
        <v>745</v>
      </c>
      <c r="I95" s="1">
        <f t="shared" si="18"/>
        <v>45</v>
      </c>
    </row>
    <row r="96" spans="1:9" x14ac:dyDescent="0.3">
      <c r="A96" s="41"/>
      <c r="B96" s="41" t="s">
        <v>64</v>
      </c>
      <c r="C96" s="4">
        <v>300</v>
      </c>
      <c r="D96" s="4">
        <v>0</v>
      </c>
      <c r="E96" s="6" t="s">
        <v>366</v>
      </c>
      <c r="F96" s="7" t="s">
        <v>367</v>
      </c>
      <c r="H96" s="4">
        <v>-245</v>
      </c>
      <c r="I96" s="1">
        <f t="shared" si="18"/>
        <v>-545</v>
      </c>
    </row>
    <row r="97" spans="1:9" x14ac:dyDescent="0.3">
      <c r="A97" s="41" t="s">
        <v>368</v>
      </c>
      <c r="B97" s="41" t="s">
        <v>65</v>
      </c>
      <c r="C97" s="4"/>
      <c r="D97" s="4">
        <v>0</v>
      </c>
      <c r="E97" s="6" t="s">
        <v>366</v>
      </c>
      <c r="F97" s="7" t="s">
        <v>369</v>
      </c>
      <c r="H97" s="95">
        <v>-50</v>
      </c>
      <c r="I97" s="1">
        <f t="shared" si="18"/>
        <v>-50</v>
      </c>
    </row>
    <row r="98" spans="1:9" x14ac:dyDescent="0.3">
      <c r="A98" s="41"/>
      <c r="B98" s="41" t="s">
        <v>66</v>
      </c>
      <c r="C98" s="4">
        <v>0</v>
      </c>
      <c r="D98" s="4">
        <v>0</v>
      </c>
      <c r="E98" s="6" t="s">
        <v>366</v>
      </c>
      <c r="F98" s="7" t="s">
        <v>370</v>
      </c>
      <c r="H98" s="4">
        <v>-44</v>
      </c>
      <c r="I98" s="1">
        <f t="shared" si="18"/>
        <v>-44</v>
      </c>
    </row>
    <row r="99" spans="1:9" x14ac:dyDescent="0.3">
      <c r="A99" s="41"/>
      <c r="B99" s="41" t="s">
        <v>29</v>
      </c>
      <c r="C99" s="2">
        <f>SUM(C92:C98)</f>
        <v>1000</v>
      </c>
      <c r="D99" s="2">
        <f>SUM(D92:D98)</f>
        <v>700</v>
      </c>
      <c r="E99" s="6"/>
      <c r="F99" s="7"/>
      <c r="H99" s="2">
        <f>SUM(H92:H98)</f>
        <v>973</v>
      </c>
      <c r="I99" s="2">
        <f>SUM(I92:I98)</f>
        <v>-27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" t="s">
        <v>349</v>
      </c>
      <c r="F100" s="7" t="s">
        <v>371</v>
      </c>
      <c r="H100" s="4">
        <v>0</v>
      </c>
      <c r="I100" s="1">
        <v>0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19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19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19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9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9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9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0</v>
      </c>
      <c r="I107" s="2">
        <f>SUM(I100:I106)</f>
        <v>0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0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0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0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0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0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0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1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1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1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1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1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21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2">SUM(H116:H122)</f>
        <v>0</v>
      </c>
      <c r="I123" s="2">
        <f t="shared" si="22"/>
        <v>0</v>
      </c>
    </row>
    <row r="124" spans="1:9" x14ac:dyDescent="0.3">
      <c r="A124" s="41"/>
      <c r="B124" s="41" t="s">
        <v>12</v>
      </c>
      <c r="C124" s="3">
        <f>SUM(C123+C115+C107+C99)</f>
        <v>1000</v>
      </c>
      <c r="D124" s="3">
        <f>SUM(D123+D115+D107+D99)</f>
        <v>700</v>
      </c>
      <c r="E124" s="6"/>
      <c r="F124" s="7"/>
      <c r="H124" s="3">
        <f t="shared" ref="H124:I124" si="23">SUM(H123+H115+H107+H99)</f>
        <v>973</v>
      </c>
      <c r="I124" s="3">
        <f t="shared" si="23"/>
        <v>-27</v>
      </c>
    </row>
    <row r="125" spans="1:9" x14ac:dyDescent="0.3">
      <c r="A125" s="41"/>
      <c r="B125" s="41" t="s">
        <v>13</v>
      </c>
      <c r="C125" s="1">
        <f>D124+C124</f>
        <v>1700</v>
      </c>
      <c r="E125" s="24"/>
      <c r="F125" s="25"/>
      <c r="H125" s="1">
        <f t="shared" ref="H125:I125" si="24">I124+H124</f>
        <v>946</v>
      </c>
      <c r="I125" s="1">
        <f t="shared" si="24"/>
        <v>-27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/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/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/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/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5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5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5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5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5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5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6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6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6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6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6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6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7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7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7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7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7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7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8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8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8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8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8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8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9">SUM(H160:H166)</f>
        <v>0</v>
      </c>
      <c r="I167" s="2">
        <f t="shared" si="29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0">SUM(H167+H159+H151+H143)</f>
        <v>0</v>
      </c>
      <c r="I168" s="3">
        <f t="shared" si="30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1">I168+H168</f>
        <v>0</v>
      </c>
      <c r="I169" s="1">
        <f t="shared" si="31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2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2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2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2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2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2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3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3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3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3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3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3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4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4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4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4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4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4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5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5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5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5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5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5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6">SUM(H204:H210)</f>
        <v>0</v>
      </c>
      <c r="I211" s="2">
        <f t="shared" si="36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7">SUM(H211+H203+H195+H187)</f>
        <v>0</v>
      </c>
      <c r="I212" s="3">
        <f t="shared" si="37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8">I212+H212</f>
        <v>0</v>
      </c>
      <c r="I213" s="1">
        <f t="shared" si="38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E368D6-A046-4CF6-9DE8-A84188883508}">
  <sheetPr codeName="Sheet14"/>
  <dimension ref="A1:I222"/>
  <sheetViews>
    <sheetView showGridLines="0" workbookViewId="0">
      <pane xSplit="2" ySplit="3" topLeftCell="C89" activePane="bottomRight" state="frozen"/>
      <selection pane="topRight" activeCell="C23" sqref="C23"/>
      <selection pane="bottomLeft" activeCell="C23" sqref="C23"/>
      <selection pane="bottomRight" activeCell="G99" sqref="G99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  <col min="8" max="8" width="8.88671875" bestFit="1" customWidth="1"/>
  </cols>
  <sheetData>
    <row r="1" spans="2:9" ht="18.75" customHeight="1" x14ac:dyDescent="0.3">
      <c r="B1" s="15"/>
      <c r="C1" s="14" t="s">
        <v>372</v>
      </c>
      <c r="D1" s="14"/>
      <c r="F1" t="s">
        <v>373</v>
      </c>
    </row>
    <row r="2" spans="2:9" x14ac:dyDescent="0.3">
      <c r="C2" s="5" t="s">
        <v>1</v>
      </c>
      <c r="D2" s="5"/>
    </row>
    <row r="3" spans="2:9" ht="86.4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>
        <v>-7.38</v>
      </c>
      <c r="I4" s="1">
        <f>H4-C4</f>
        <v>-7.38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>
        <v>-13.6</v>
      </c>
      <c r="I5" s="1">
        <f t="shared" ref="I5:I10" si="0">H5-C5</f>
        <v>-13.6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>
        <v>11.7</v>
      </c>
      <c r="I6" s="1">
        <f t="shared" si="0"/>
        <v>11.7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>
        <v>6.26</v>
      </c>
      <c r="I7" s="1">
        <f t="shared" si="0"/>
        <v>6.26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>
        <v>-2.34</v>
      </c>
      <c r="I8" s="1">
        <f t="shared" si="0"/>
        <v>-2.34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>
        <v>3.97</v>
      </c>
      <c r="I9" s="1">
        <f t="shared" si="0"/>
        <v>3.97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>
        <v>12.03</v>
      </c>
      <c r="I10" s="1">
        <f t="shared" si="0"/>
        <v>12.03</v>
      </c>
    </row>
    <row r="11" spans="2:9" x14ac:dyDescent="0.3">
      <c r="B11" s="21" t="s">
        <v>11</v>
      </c>
      <c r="C11" s="2">
        <f>SUM(C4:C10)</f>
        <v>0</v>
      </c>
      <c r="D11" s="2">
        <f>SUM(D4:D10)</f>
        <v>0</v>
      </c>
      <c r="E11" s="6"/>
      <c r="F11" s="7"/>
      <c r="H11" s="2">
        <v>-51.56</v>
      </c>
      <c r="I11" s="2">
        <f>SUM(I4:I10)</f>
        <v>10.639999999999999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>
        <v>-6.43</v>
      </c>
      <c r="I12" s="1">
        <f>H12-C12</f>
        <v>-6.43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>
        <v>34.119999999999997</v>
      </c>
      <c r="I13" s="1">
        <f t="shared" ref="I13:I18" si="2">H13-C13</f>
        <v>34.119999999999997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>
        <v>-51.56</v>
      </c>
      <c r="I14" s="1">
        <f t="shared" si="2"/>
        <v>-51.56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>
        <v>-8.8800000000000008</v>
      </c>
      <c r="I15" s="1">
        <f t="shared" si="2"/>
        <v>-8.8800000000000008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>
        <v>1.84</v>
      </c>
      <c r="I16" s="1">
        <f t="shared" si="2"/>
        <v>1.84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>
        <v>129.78</v>
      </c>
      <c r="I17" s="1">
        <f t="shared" si="2"/>
        <v>129.78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>
        <v>-250.03</v>
      </c>
      <c r="I18" s="1">
        <f t="shared" si="2"/>
        <v>-250.03</v>
      </c>
    </row>
    <row r="19" spans="2:9" x14ac:dyDescent="0.3">
      <c r="B19" s="21" t="s">
        <v>11</v>
      </c>
      <c r="C19" s="2">
        <f>SUM(C12:C18)</f>
        <v>0</v>
      </c>
      <c r="D19" s="2">
        <f>SUM(D12:D18)</f>
        <v>0</v>
      </c>
      <c r="E19" s="6"/>
      <c r="F19" s="7"/>
      <c r="H19" s="2">
        <v>-9.26</v>
      </c>
      <c r="I19" s="2">
        <f>SUM(I12:I18)</f>
        <v>-151.16000000000003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>
        <v>23</v>
      </c>
      <c r="I20" s="1">
        <f>H20-C20</f>
        <v>23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>
        <v>-11</v>
      </c>
      <c r="I21" s="1">
        <f t="shared" ref="I21:I26" si="4">H21-C21</f>
        <v>-11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/>
      <c r="F22" s="7"/>
      <c r="H22" s="4">
        <v>-9.3800000000000008</v>
      </c>
      <c r="I22" s="1">
        <f t="shared" si="4"/>
        <v>-9.3800000000000008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/>
      <c r="F23" s="7"/>
      <c r="H23" s="4">
        <v>127</v>
      </c>
      <c r="I23" s="1">
        <f t="shared" si="4"/>
        <v>127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>
        <v>-9</v>
      </c>
      <c r="I24" s="1">
        <f t="shared" si="4"/>
        <v>-9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>
        <v>13</v>
      </c>
      <c r="I25" s="1">
        <f t="shared" si="4"/>
        <v>13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>
        <v>9</v>
      </c>
      <c r="I26" s="1">
        <f t="shared" si="4"/>
        <v>9</v>
      </c>
    </row>
    <row r="27" spans="2:9" x14ac:dyDescent="0.3">
      <c r="B27" s="21" t="s">
        <v>11</v>
      </c>
      <c r="C27" s="2">
        <f>SUM(C20:C26)</f>
        <v>0</v>
      </c>
      <c r="D27" s="2">
        <f>SUM(D20:D26)</f>
        <v>0</v>
      </c>
      <c r="E27" s="6"/>
      <c r="F27" s="7"/>
      <c r="H27" s="2">
        <f>SUM(H20:H26)</f>
        <v>142.62</v>
      </c>
      <c r="I27" s="2">
        <f>SUM(I20:I26)</f>
        <v>142.62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>
        <v>-13.17</v>
      </c>
      <c r="I28" s="1">
        <f>H28-C28</f>
        <v>-13.17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>
        <v>-19.54</v>
      </c>
      <c r="I29" s="1">
        <f t="shared" ref="I29:I34" si="6">H29-C29</f>
        <v>-19.54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>
        <v>-23.01</v>
      </c>
      <c r="I30" s="1">
        <f t="shared" si="6"/>
        <v>-23.01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>
        <v>5.39</v>
      </c>
      <c r="I31" s="1">
        <f t="shared" si="6"/>
        <v>5.39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>
        <v>50.3</v>
      </c>
      <c r="I32" s="1">
        <f t="shared" si="6"/>
        <v>50.3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>
        <v>9</v>
      </c>
      <c r="I33" s="1">
        <f t="shared" si="6"/>
        <v>9</v>
      </c>
    </row>
    <row r="34" spans="1:9" ht="15" thickBot="1" x14ac:dyDescent="0.35">
      <c r="B34" s="20">
        <f t="shared" si="7"/>
        <v>46270</v>
      </c>
      <c r="C34" s="4">
        <v>0</v>
      </c>
      <c r="D34" s="4">
        <v>0</v>
      </c>
      <c r="E34" s="6"/>
      <c r="F34" s="7"/>
      <c r="H34" s="4">
        <v>21</v>
      </c>
      <c r="I34" s="1">
        <f t="shared" si="6"/>
        <v>21</v>
      </c>
    </row>
    <row r="35" spans="1:9" x14ac:dyDescent="0.3">
      <c r="B35" s="19" t="s">
        <v>11</v>
      </c>
      <c r="C35" s="2">
        <f>SUM(C28:C34)</f>
        <v>0</v>
      </c>
      <c r="D35" s="2">
        <f>SUM(D28:D34)</f>
        <v>0</v>
      </c>
      <c r="E35" s="6"/>
      <c r="F35" s="7"/>
      <c r="H35" s="2">
        <f>SUM(H28:H34)</f>
        <v>29.97</v>
      </c>
      <c r="I35" s="2">
        <f t="shared" ref="I35" si="8">SUM(I28:I34)</f>
        <v>29.97</v>
      </c>
    </row>
    <row r="36" spans="1:9" x14ac:dyDescent="0.3">
      <c r="B36" s="19" t="s">
        <v>12</v>
      </c>
      <c r="C36" s="3">
        <f>SUM(C35+C27+C19+C11)</f>
        <v>0</v>
      </c>
      <c r="D36" s="3">
        <f>SUM(D35+D27+D19+D11)</f>
        <v>0</v>
      </c>
      <c r="E36" s="6"/>
      <c r="F36" s="7"/>
      <c r="H36" s="3">
        <f t="shared" ref="H36:I36" si="9">SUM(H35+H27+H19+H11)</f>
        <v>111.77000000000001</v>
      </c>
      <c r="I36" s="3">
        <f t="shared" si="9"/>
        <v>32.069999999999979</v>
      </c>
    </row>
    <row r="37" spans="1:9" ht="15" thickBot="1" x14ac:dyDescent="0.35">
      <c r="B37" s="19" t="s">
        <v>13</v>
      </c>
      <c r="C37" s="1">
        <f>D36+C36</f>
        <v>0</v>
      </c>
      <c r="E37" s="24"/>
      <c r="F37" s="25"/>
      <c r="H37" s="1">
        <f t="shared" ref="H37:I37" si="10">I36+H36</f>
        <v>143.83999999999997</v>
      </c>
      <c r="I37" s="1">
        <f t="shared" si="10"/>
        <v>32.069999999999979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900</v>
      </c>
      <c r="E39" s="6" t="s">
        <v>374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1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374</v>
      </c>
      <c r="F48" s="7"/>
      <c r="H48" s="4">
        <v>-20.05</v>
      </c>
      <c r="I48" s="1">
        <f>H48-C48</f>
        <v>-20.05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374</v>
      </c>
      <c r="F49" s="7"/>
      <c r="H49" s="4">
        <v>36.799999999999997</v>
      </c>
      <c r="I49" s="1">
        <f t="shared" ref="I49:I54" si="11">H49-C49</f>
        <v>36.799999999999997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374</v>
      </c>
      <c r="F50" s="7"/>
      <c r="H50" s="4">
        <v>-25.65</v>
      </c>
      <c r="I50" s="1">
        <f t="shared" si="11"/>
        <v>-25.65</v>
      </c>
    </row>
    <row r="51" spans="1:9" x14ac:dyDescent="0.3">
      <c r="A51" s="41"/>
      <c r="B51" s="41" t="s">
        <v>24</v>
      </c>
      <c r="C51" s="4"/>
      <c r="D51" s="4">
        <v>0</v>
      </c>
      <c r="E51" s="6" t="s">
        <v>374</v>
      </c>
      <c r="F51" s="7"/>
      <c r="H51" s="4">
        <v>-23.39</v>
      </c>
      <c r="I51" s="1">
        <f t="shared" si="11"/>
        <v>-23.39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 t="s">
        <v>374</v>
      </c>
      <c r="F52" s="7"/>
      <c r="H52" s="4">
        <v>-2.7</v>
      </c>
      <c r="I52" s="1">
        <f t="shared" si="11"/>
        <v>-2.7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374</v>
      </c>
      <c r="F53" s="7"/>
      <c r="H53" s="4">
        <v>-8</v>
      </c>
      <c r="I53" s="1">
        <f t="shared" si="11"/>
        <v>-8</v>
      </c>
    </row>
    <row r="54" spans="1:9" x14ac:dyDescent="0.3">
      <c r="A54" s="41"/>
      <c r="B54" s="41" t="s">
        <v>27</v>
      </c>
      <c r="C54" s="4">
        <v>0</v>
      </c>
      <c r="D54" s="4">
        <v>0</v>
      </c>
      <c r="E54" s="6" t="s">
        <v>374</v>
      </c>
      <c r="F54" s="7"/>
      <c r="H54" s="4">
        <v>16.62</v>
      </c>
      <c r="I54" s="1">
        <f t="shared" si="11"/>
        <v>16.62</v>
      </c>
    </row>
    <row r="55" spans="1:9" x14ac:dyDescent="0.3">
      <c r="A55" s="41"/>
      <c r="B55" s="41" t="s">
        <v>29</v>
      </c>
      <c r="C55" s="2">
        <f>SUM(C48:C54)</f>
        <v>0</v>
      </c>
      <c r="D55" s="2">
        <f>SUM(D48:D54)</f>
        <v>0</v>
      </c>
      <c r="E55" s="6" t="s">
        <v>374</v>
      </c>
      <c r="F55" s="7"/>
      <c r="H55" s="2">
        <f>SUM(H48:H54)</f>
        <v>-26.370000000000008</v>
      </c>
      <c r="I55" s="2">
        <f>SUM(I48:I54)</f>
        <v>-26.370000000000008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375</v>
      </c>
      <c r="F56" s="7" t="s">
        <v>376</v>
      </c>
      <c r="H56" s="4">
        <v>0.21</v>
      </c>
      <c r="I56" s="1">
        <f>H56-C56</f>
        <v>0.21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375</v>
      </c>
      <c r="F57" s="7"/>
      <c r="H57" s="4">
        <v>-88</v>
      </c>
      <c r="I57" s="1">
        <v>0.21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" t="s">
        <v>375</v>
      </c>
      <c r="F58" s="7"/>
      <c r="H58" s="4">
        <v>26</v>
      </c>
      <c r="I58" s="1">
        <f t="shared" ref="I58:I62" si="12">H58-C58</f>
        <v>26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8</v>
      </c>
      <c r="F59" s="7"/>
      <c r="H59" s="4">
        <v>107</v>
      </c>
      <c r="I59" s="1">
        <f t="shared" si="12"/>
        <v>107</v>
      </c>
    </row>
    <row r="60" spans="1:9" x14ac:dyDescent="0.3">
      <c r="A60" s="41"/>
      <c r="B60" s="41" t="s">
        <v>35</v>
      </c>
      <c r="C60" s="4">
        <v>0</v>
      </c>
      <c r="D60" s="4">
        <v>695</v>
      </c>
      <c r="E60" s="6" t="s">
        <v>8</v>
      </c>
      <c r="F60" s="7"/>
      <c r="H60" s="4">
        <v>-36</v>
      </c>
      <c r="I60" s="1">
        <f t="shared" si="12"/>
        <v>-36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8</v>
      </c>
      <c r="F61" s="7"/>
      <c r="H61" s="4">
        <v>6.36</v>
      </c>
      <c r="I61" s="1">
        <f t="shared" si="12"/>
        <v>6.36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8</v>
      </c>
      <c r="F62" s="7"/>
      <c r="H62" s="4">
        <v>22.4</v>
      </c>
      <c r="I62" s="1">
        <f t="shared" si="12"/>
        <v>22.4</v>
      </c>
    </row>
    <row r="63" spans="1:9" x14ac:dyDescent="0.3">
      <c r="A63" s="41"/>
      <c r="B63" s="41" t="s">
        <v>29</v>
      </c>
      <c r="C63" s="2">
        <f>SUM(C56:C62)</f>
        <v>0</v>
      </c>
      <c r="D63" s="2">
        <f>SUM(D56:D62)</f>
        <v>695</v>
      </c>
      <c r="E63" s="6"/>
      <c r="F63" s="7"/>
      <c r="H63" s="2">
        <f>SUM(H56:H62)</f>
        <v>37.969999999999992</v>
      </c>
      <c r="I63" s="2">
        <f>SUM(I56:I62)</f>
        <v>126.18</v>
      </c>
    </row>
    <row r="64" spans="1:9" x14ac:dyDescent="0.3">
      <c r="A64" s="41"/>
      <c r="B64" s="41" t="s">
        <v>38</v>
      </c>
      <c r="C64" s="4">
        <v>695</v>
      </c>
      <c r="D64" s="4">
        <v>0</v>
      </c>
      <c r="E64" s="6" t="s">
        <v>375</v>
      </c>
      <c r="F64" s="7" t="s">
        <v>377</v>
      </c>
      <c r="H64" s="4">
        <v>-1278</v>
      </c>
      <c r="I64" s="1">
        <f>H64-C64</f>
        <v>-1973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375</v>
      </c>
      <c r="F65" s="7"/>
      <c r="H65" s="4">
        <v>-8.01</v>
      </c>
      <c r="I65" s="1">
        <f t="shared" ref="I65:I70" si="13">H65-C65</f>
        <v>-8.01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375</v>
      </c>
      <c r="F66" s="7"/>
      <c r="H66" s="4">
        <v>-22.24</v>
      </c>
      <c r="I66" s="1">
        <f t="shared" si="13"/>
        <v>-22.24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8</v>
      </c>
      <c r="F67" s="7"/>
      <c r="H67" s="4">
        <v>72.040000000000006</v>
      </c>
      <c r="I67" s="1">
        <f t="shared" si="13"/>
        <v>72.040000000000006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/>
      <c r="F68" s="7"/>
      <c r="H68" s="4">
        <v>-29.94</v>
      </c>
      <c r="I68" s="1">
        <f t="shared" si="13"/>
        <v>-29.94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8</v>
      </c>
      <c r="F69" s="7"/>
      <c r="H69" s="4">
        <v>28.54</v>
      </c>
      <c r="I69" s="1">
        <f t="shared" si="13"/>
        <v>28.54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181</v>
      </c>
      <c r="F70" s="7"/>
      <c r="H70" s="4">
        <v>15</v>
      </c>
      <c r="I70" s="1">
        <f t="shared" si="13"/>
        <v>15</v>
      </c>
    </row>
    <row r="71" spans="1:9" x14ac:dyDescent="0.3">
      <c r="A71" s="41"/>
      <c r="B71" s="41" t="s">
        <v>29</v>
      </c>
      <c r="C71" s="2">
        <f>SUM(C64:C70)</f>
        <v>695</v>
      </c>
      <c r="D71" s="2">
        <f>SUM(D64:D70)</f>
        <v>0</v>
      </c>
      <c r="E71" s="6"/>
      <c r="F71" s="7"/>
      <c r="H71" s="2">
        <f>SUM(H64:H70)</f>
        <v>-1222.6100000000001</v>
      </c>
      <c r="I71" s="2">
        <f>SUM(I64:I70)</f>
        <v>-1917.6100000000001</v>
      </c>
    </row>
    <row r="72" spans="1:9" x14ac:dyDescent="0.3">
      <c r="A72" s="41"/>
      <c r="B72" s="41" t="s">
        <v>46</v>
      </c>
      <c r="C72" s="4"/>
      <c r="D72" s="4">
        <v>0</v>
      </c>
      <c r="E72" s="6" t="s">
        <v>181</v>
      </c>
      <c r="F72" s="7"/>
      <c r="H72" s="4">
        <v>-1</v>
      </c>
      <c r="I72" s="1">
        <f>H72-C72</f>
        <v>-1</v>
      </c>
    </row>
    <row r="73" spans="1:9" x14ac:dyDescent="0.3">
      <c r="A73" s="41"/>
      <c r="B73" s="41" t="s">
        <v>47</v>
      </c>
      <c r="C73" s="4"/>
      <c r="D73" s="4">
        <v>0</v>
      </c>
      <c r="E73" s="6" t="s">
        <v>181</v>
      </c>
      <c r="F73" s="7"/>
      <c r="H73" s="4">
        <v>31</v>
      </c>
      <c r="I73" s="1">
        <f t="shared" ref="I73:I78" si="14">H73-C73</f>
        <v>31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181</v>
      </c>
      <c r="F74" s="7"/>
      <c r="H74" s="4">
        <v>-66</v>
      </c>
      <c r="I74" s="1">
        <f t="shared" si="14"/>
        <v>-66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181</v>
      </c>
      <c r="F75" s="7"/>
      <c r="H75" s="4">
        <v>11</v>
      </c>
      <c r="I75" s="1">
        <f t="shared" si="14"/>
        <v>11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181</v>
      </c>
      <c r="F76" s="7"/>
      <c r="H76" s="4">
        <v>14</v>
      </c>
      <c r="I76" s="1">
        <f t="shared" si="14"/>
        <v>14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181</v>
      </c>
      <c r="F77" s="7"/>
      <c r="H77" s="4">
        <v>15</v>
      </c>
      <c r="I77" s="1">
        <f t="shared" si="14"/>
        <v>15</v>
      </c>
    </row>
    <row r="78" spans="1:9" x14ac:dyDescent="0.3">
      <c r="A78" s="41"/>
      <c r="B78" s="41" t="s">
        <v>54</v>
      </c>
      <c r="C78" s="4"/>
      <c r="D78" s="4">
        <v>0</v>
      </c>
      <c r="E78" s="6"/>
      <c r="F78" s="7"/>
      <c r="H78" s="4">
        <v>10.88</v>
      </c>
      <c r="I78" s="1">
        <f t="shared" si="14"/>
        <v>10.88</v>
      </c>
    </row>
    <row r="79" spans="1:9" x14ac:dyDescent="0.3">
      <c r="A79" s="41"/>
      <c r="B79" s="41" t="s">
        <v>11</v>
      </c>
      <c r="C79" s="2">
        <f>SUM(C72:C78)</f>
        <v>0</v>
      </c>
      <c r="D79" s="2">
        <f>SUM(D72:D78)</f>
        <v>0</v>
      </c>
      <c r="E79" s="6"/>
      <c r="F79" s="7"/>
      <c r="H79" s="2">
        <f>SUM(H72:H78)</f>
        <v>14.88</v>
      </c>
      <c r="I79" s="2">
        <f t="shared" ref="I79" si="15">SUM(I72:I78)</f>
        <v>14.88</v>
      </c>
    </row>
    <row r="80" spans="1:9" x14ac:dyDescent="0.3">
      <c r="A80" s="41"/>
      <c r="B80" s="41" t="s">
        <v>12</v>
      </c>
      <c r="C80" s="3">
        <f>SUM(C79+C71+C63+C55)</f>
        <v>695</v>
      </c>
      <c r="D80" s="3">
        <f>SUM(D79+D71+D63+D55)</f>
        <v>695</v>
      </c>
      <c r="E80" s="6"/>
      <c r="F80" s="7"/>
      <c r="H80" s="3">
        <f t="shared" ref="H80:I80" si="16">SUM(H79+H71+H63+H55)</f>
        <v>-1196.1300000000001</v>
      </c>
      <c r="I80" s="3">
        <f t="shared" si="16"/>
        <v>-1802.92</v>
      </c>
    </row>
    <row r="81" spans="1:9" x14ac:dyDescent="0.3">
      <c r="A81" s="41"/>
      <c r="B81" s="41" t="s">
        <v>13</v>
      </c>
      <c r="C81" s="1">
        <f>D80+C80</f>
        <v>1390</v>
      </c>
      <c r="E81" s="24"/>
      <c r="F81" s="25"/>
      <c r="H81" s="1" t="s">
        <v>378</v>
      </c>
      <c r="I81" s="1">
        <f t="shared" ref="I81" si="17">J80+I80</f>
        <v>-1802.92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 t="s">
        <v>379</v>
      </c>
      <c r="I82" s="41"/>
    </row>
    <row r="83" spans="1:9" x14ac:dyDescent="0.3">
      <c r="A83" s="41"/>
      <c r="B83" s="48" t="s">
        <v>57</v>
      </c>
      <c r="C83" s="49">
        <v>1400</v>
      </c>
      <c r="D83" s="41"/>
      <c r="E83" s="43" t="s">
        <v>380</v>
      </c>
      <c r="F83" s="50" t="s">
        <v>381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 t="s">
        <v>382</v>
      </c>
      <c r="F84" s="51"/>
      <c r="G84" s="41"/>
      <c r="H84" s="41"/>
      <c r="I84" s="41"/>
    </row>
    <row r="85" spans="1:9" x14ac:dyDescent="0.3">
      <c r="A85" s="41"/>
      <c r="B85" s="48" t="s">
        <v>16</v>
      </c>
      <c r="C85" s="49">
        <v>1</v>
      </c>
      <c r="D85" s="41"/>
      <c r="E85" s="41">
        <v>1</v>
      </c>
      <c r="F85" s="51" t="s">
        <v>383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1200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181</v>
      </c>
      <c r="F92" s="7"/>
      <c r="H92" s="4">
        <v>53.21</v>
      </c>
      <c r="I92" s="1">
        <f>H92-C92</f>
        <v>53.21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8</v>
      </c>
      <c r="F93" s="7" t="s">
        <v>384</v>
      </c>
      <c r="H93" s="4">
        <v>0.26</v>
      </c>
      <c r="I93" s="1">
        <f t="shared" ref="I93:I98" si="18">H93-C93</f>
        <v>0.26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181</v>
      </c>
      <c r="F94" s="7"/>
      <c r="H94" s="4">
        <v>-10</v>
      </c>
      <c r="I94" s="1">
        <f t="shared" si="18"/>
        <v>-10</v>
      </c>
    </row>
    <row r="95" spans="1:9" x14ac:dyDescent="0.3">
      <c r="A95" s="41"/>
      <c r="B95" s="41" t="s">
        <v>63</v>
      </c>
      <c r="C95" s="4"/>
      <c r="D95" s="4">
        <v>875</v>
      </c>
      <c r="E95" s="6" t="s">
        <v>181</v>
      </c>
      <c r="F95" s="7" t="s">
        <v>385</v>
      </c>
      <c r="H95" s="4">
        <v>-21</v>
      </c>
      <c r="I95" s="1">
        <f>H95-C95</f>
        <v>-21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181</v>
      </c>
      <c r="F96" s="7" t="s">
        <v>386</v>
      </c>
      <c r="H96" s="4">
        <v>0</v>
      </c>
      <c r="I96" s="1">
        <f>H96-C96</f>
        <v>0</v>
      </c>
    </row>
    <row r="97" spans="1:9" x14ac:dyDescent="0.3">
      <c r="A97" s="41"/>
      <c r="B97" s="41" t="s">
        <v>65</v>
      </c>
      <c r="C97" s="4">
        <v>0</v>
      </c>
      <c r="D97" s="4">
        <v>0</v>
      </c>
      <c r="E97" s="6" t="s">
        <v>181</v>
      </c>
      <c r="F97" s="7"/>
      <c r="G97" t="s">
        <v>387</v>
      </c>
      <c r="H97" s="4">
        <v>15</v>
      </c>
      <c r="I97" s="1">
        <f t="shared" si="18"/>
        <v>15</v>
      </c>
    </row>
    <row r="98" spans="1:9" x14ac:dyDescent="0.3">
      <c r="A98" s="41"/>
      <c r="B98" s="41" t="s">
        <v>66</v>
      </c>
      <c r="C98" s="4">
        <v>0</v>
      </c>
      <c r="D98" s="4">
        <v>0</v>
      </c>
      <c r="E98" s="6" t="s">
        <v>181</v>
      </c>
      <c r="F98" s="7"/>
      <c r="H98" s="4">
        <v>-37</v>
      </c>
      <c r="I98" s="1">
        <f t="shared" si="18"/>
        <v>-37</v>
      </c>
    </row>
    <row r="99" spans="1:9" x14ac:dyDescent="0.3">
      <c r="A99" s="41"/>
      <c r="B99" s="41" t="s">
        <v>29</v>
      </c>
      <c r="C99" s="2">
        <f>SUM(C92:C98)</f>
        <v>0</v>
      </c>
      <c r="D99" s="2">
        <f>SUM(D92:D98)</f>
        <v>875</v>
      </c>
      <c r="E99" s="6"/>
      <c r="F99" s="7"/>
      <c r="H99" s="2">
        <f>SUM(H92:H98)</f>
        <v>0.46999999999999886</v>
      </c>
      <c r="I99" s="2">
        <f>SUM(I92:I98)</f>
        <v>0.46999999999999886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"/>
      <c r="F100" s="7"/>
      <c r="H100" s="4">
        <v>0</v>
      </c>
      <c r="I100" s="1">
        <f>H100-C100</f>
        <v>0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19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19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19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9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9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9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0</v>
      </c>
      <c r="I107" s="2">
        <f>SUM(I100:I106)</f>
        <v>0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0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0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0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0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0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0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1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1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1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1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1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 t="s">
        <v>388</v>
      </c>
      <c r="I122" s="1" t="e">
        <f t="shared" si="21"/>
        <v>#VALUE!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v>0</v>
      </c>
      <c r="I123" s="2" t="e">
        <f t="shared" ref="I123" si="22">SUM(I116:I122)</f>
        <v>#VALUE!</v>
      </c>
    </row>
    <row r="124" spans="1:9" x14ac:dyDescent="0.3">
      <c r="A124" s="41"/>
      <c r="B124" s="41" t="s">
        <v>12</v>
      </c>
      <c r="C124" s="3">
        <f>SUM(C123+C115+C107+C99)</f>
        <v>0</v>
      </c>
      <c r="D124" s="3">
        <f>SUM(D123+D115+D107+D99)</f>
        <v>875</v>
      </c>
      <c r="E124" s="6"/>
      <c r="F124" s="7"/>
      <c r="H124" s="3">
        <f t="shared" ref="H124:I124" si="23">SUM(H123+H115+H107+H99)</f>
        <v>0.46999999999999886</v>
      </c>
      <c r="I124" s="3" t="e">
        <f t="shared" si="23"/>
        <v>#VALUE!</v>
      </c>
    </row>
    <row r="125" spans="1:9" x14ac:dyDescent="0.3">
      <c r="A125" s="41"/>
      <c r="B125" s="41" t="s">
        <v>13</v>
      </c>
      <c r="C125" s="1">
        <f>D124+C124</f>
        <v>875</v>
      </c>
      <c r="E125" s="24"/>
      <c r="F125" s="25"/>
      <c r="H125" s="1" t="e">
        <f t="shared" ref="H125:I125" si="24">I124+H124</f>
        <v>#VALUE!</v>
      </c>
      <c r="I125" s="1" t="e">
        <f t="shared" si="24"/>
        <v>#VALUE!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5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5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5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5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5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5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6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6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6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6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6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6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7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7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7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7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7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7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8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8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8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8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8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8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9">SUM(H160:H166)</f>
        <v>0</v>
      </c>
      <c r="I167" s="2">
        <f t="shared" si="29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0">SUM(H167+H159+H151+H143)</f>
        <v>0</v>
      </c>
      <c r="I168" s="3">
        <f t="shared" si="30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1">I168+H168</f>
        <v>0</v>
      </c>
      <c r="I169" s="1">
        <f t="shared" si="31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2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2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2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2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2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2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3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3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3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3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3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3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4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4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4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4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4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4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5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5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5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5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5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5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6">SUM(H204:H210)</f>
        <v>0</v>
      </c>
      <c r="I211" s="2">
        <f t="shared" si="36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7">SUM(H211+H203+H195+H187)</f>
        <v>0</v>
      </c>
      <c r="I212" s="3">
        <f t="shared" si="37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8">I212+H212</f>
        <v>0</v>
      </c>
      <c r="I213" s="1">
        <f t="shared" si="38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46F85-E488-4715-8F58-A6DD196F2D37}">
  <sheetPr codeName="Sheet15"/>
  <dimension ref="A1:I222"/>
  <sheetViews>
    <sheetView showGridLines="0" workbookViewId="0">
      <pane xSplit="2" ySplit="3" topLeftCell="C87" activePane="bottomRight" state="frozen"/>
      <selection pane="topRight" activeCell="C23" sqref="C23"/>
      <selection pane="bottomLeft" activeCell="C23" sqref="C23"/>
      <selection pane="bottomRight" activeCell="E95" sqref="E95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389</v>
      </c>
      <c r="D1" s="14"/>
    </row>
    <row r="2" spans="2:9" x14ac:dyDescent="0.3">
      <c r="C2" s="5" t="s">
        <v>1</v>
      </c>
      <c r="D2" s="5"/>
    </row>
    <row r="3" spans="2:9" ht="86.4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500</v>
      </c>
      <c r="D6" s="4">
        <v>0</v>
      </c>
      <c r="E6" s="6" t="s">
        <v>390</v>
      </c>
      <c r="F6" s="7"/>
      <c r="H6" s="4"/>
      <c r="I6" s="1">
        <f t="shared" si="0"/>
        <v>-500</v>
      </c>
    </row>
    <row r="7" spans="2:9" x14ac:dyDescent="0.3">
      <c r="B7" s="20">
        <f t="shared" si="1"/>
        <v>46246</v>
      </c>
      <c r="C7" s="4">
        <v>0</v>
      </c>
      <c r="D7" s="4">
        <v>2000</v>
      </c>
      <c r="E7" s="6" t="s">
        <v>391</v>
      </c>
      <c r="F7" s="7"/>
      <c r="H7" s="4"/>
      <c r="I7" s="1">
        <f t="shared" si="0"/>
        <v>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500</v>
      </c>
      <c r="D9" s="4">
        <v>0</v>
      </c>
      <c r="E9" s="6" t="s">
        <v>390</v>
      </c>
      <c r="F9" s="7"/>
      <c r="H9" s="4"/>
      <c r="I9" s="1">
        <f t="shared" si="0"/>
        <v>-500</v>
      </c>
    </row>
    <row r="10" spans="2:9" ht="15" thickBot="1" x14ac:dyDescent="0.35">
      <c r="B10" s="20">
        <f t="shared" si="1"/>
        <v>46249</v>
      </c>
      <c r="C10" s="4">
        <v>500</v>
      </c>
      <c r="D10" s="4">
        <v>0</v>
      </c>
      <c r="E10" s="6" t="s">
        <v>390</v>
      </c>
      <c r="F10" s="7"/>
      <c r="H10" s="4"/>
      <c r="I10" s="1">
        <f t="shared" si="0"/>
        <v>-500</v>
      </c>
    </row>
    <row r="11" spans="2:9" x14ac:dyDescent="0.3">
      <c r="B11" s="21" t="s">
        <v>11</v>
      </c>
      <c r="C11" s="2">
        <f>SUM(C4:C10)</f>
        <v>1500</v>
      </c>
      <c r="D11" s="2">
        <f>SUM(D4:D10)</f>
        <v>2000</v>
      </c>
      <c r="E11" s="6"/>
      <c r="F11" s="7"/>
      <c r="H11" s="2">
        <f>SUM(H4:H10)</f>
        <v>0</v>
      </c>
      <c r="I11" s="2">
        <f>SUM(I4:I10)</f>
        <v>-1500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500</v>
      </c>
      <c r="D13" s="4">
        <v>0</v>
      </c>
      <c r="E13" s="6" t="s">
        <v>390</v>
      </c>
      <c r="F13" s="7"/>
      <c r="H13" s="4"/>
      <c r="I13" s="1">
        <f t="shared" ref="I13:I18" si="2">H13-C13</f>
        <v>-500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500</v>
      </c>
      <c r="D16" s="4">
        <v>0</v>
      </c>
      <c r="E16" s="6" t="s">
        <v>391</v>
      </c>
      <c r="F16" s="7"/>
      <c r="H16" s="4"/>
      <c r="I16" s="1">
        <f t="shared" si="2"/>
        <v>-500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1000</v>
      </c>
      <c r="D19" s="2">
        <f>SUM(D12:D18)</f>
        <v>0</v>
      </c>
      <c r="E19" s="6"/>
      <c r="F19" s="7"/>
      <c r="H19" s="2">
        <f>SUM(H12:H18)</f>
        <v>0</v>
      </c>
      <c r="I19" s="2">
        <f>SUM(I12:I18)</f>
        <v>-1000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500</v>
      </c>
      <c r="D21" s="4">
        <v>0</v>
      </c>
      <c r="E21" s="6" t="s">
        <v>390</v>
      </c>
      <c r="F21" s="7"/>
      <c r="H21" s="4"/>
      <c r="I21" s="1">
        <f t="shared" ref="I21:I26" si="4">H21-C21</f>
        <v>-500</v>
      </c>
    </row>
    <row r="22" spans="2:9" x14ac:dyDescent="0.3">
      <c r="B22" s="20">
        <f t="shared" ref="B22:B26" si="5">B21+1</f>
        <v>46259</v>
      </c>
      <c r="C22" s="4">
        <v>0</v>
      </c>
      <c r="D22" s="4">
        <v>4000</v>
      </c>
      <c r="E22" s="6" t="s">
        <v>391</v>
      </c>
      <c r="F22" s="7" t="s">
        <v>392</v>
      </c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/>
      <c r="F23" s="7"/>
      <c r="H23" s="4"/>
      <c r="I23" s="1">
        <f t="shared" si="4"/>
        <v>0</v>
      </c>
    </row>
    <row r="24" spans="2:9" x14ac:dyDescent="0.3">
      <c r="B24" s="20">
        <f t="shared" si="5"/>
        <v>46261</v>
      </c>
      <c r="C24" s="4">
        <v>1500</v>
      </c>
      <c r="D24" s="4">
        <v>0</v>
      </c>
      <c r="E24" s="6" t="s">
        <v>391</v>
      </c>
      <c r="F24" s="7"/>
      <c r="H24" s="4"/>
      <c r="I24" s="1">
        <f t="shared" si="4"/>
        <v>-1500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/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/>
      <c r="I26" s="1">
        <f t="shared" si="4"/>
        <v>0</v>
      </c>
    </row>
    <row r="27" spans="2:9" x14ac:dyDescent="0.3">
      <c r="B27" s="21" t="s">
        <v>11</v>
      </c>
      <c r="C27" s="2">
        <f>SUM(C20:C26)</f>
        <v>2000</v>
      </c>
      <c r="D27" s="2">
        <f>SUM(D20:D26)</f>
        <v>4000</v>
      </c>
      <c r="E27" s="6"/>
      <c r="F27" s="7"/>
      <c r="H27" s="2">
        <f>SUM(H20:H26)</f>
        <v>0</v>
      </c>
      <c r="I27" s="2">
        <f>SUM(I20:I26)</f>
        <v>-2000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/>
      <c r="I28" s="1">
        <f>H28-C28</f>
        <v>0</v>
      </c>
    </row>
    <row r="29" spans="2:9" x14ac:dyDescent="0.3">
      <c r="B29" s="20">
        <f>B28+1</f>
        <v>46265</v>
      </c>
      <c r="C29" s="4">
        <v>1000</v>
      </c>
      <c r="D29" s="4">
        <v>0</v>
      </c>
      <c r="E29" s="6" t="s">
        <v>390</v>
      </c>
      <c r="F29" s="7"/>
      <c r="H29" s="4"/>
      <c r="I29" s="1">
        <f t="shared" ref="I29:I34" si="6">H29-C29</f>
        <v>-1000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/>
      <c r="I30" s="1">
        <f t="shared" si="6"/>
        <v>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/>
      <c r="I31" s="1">
        <f t="shared" si="6"/>
        <v>0</v>
      </c>
    </row>
    <row r="32" spans="2:9" x14ac:dyDescent="0.3">
      <c r="B32" s="20">
        <f t="shared" si="7"/>
        <v>46268</v>
      </c>
      <c r="C32" s="4">
        <v>500</v>
      </c>
      <c r="D32" s="4">
        <v>0</v>
      </c>
      <c r="E32" s="6" t="s">
        <v>391</v>
      </c>
      <c r="F32" s="7"/>
      <c r="H32" s="4"/>
      <c r="I32" s="1">
        <f t="shared" si="6"/>
        <v>-500</v>
      </c>
    </row>
    <row r="33" spans="1:9" x14ac:dyDescent="0.3">
      <c r="B33" s="20">
        <f t="shared" si="7"/>
        <v>46269</v>
      </c>
      <c r="C33" s="4">
        <v>500</v>
      </c>
      <c r="D33" s="4">
        <v>0</v>
      </c>
      <c r="E33" s="6"/>
      <c r="F33" s="7"/>
      <c r="H33" s="4"/>
      <c r="I33" s="1">
        <f t="shared" si="6"/>
        <v>-500</v>
      </c>
    </row>
    <row r="34" spans="1:9" ht="15" thickBot="1" x14ac:dyDescent="0.35">
      <c r="B34" s="20">
        <f t="shared" si="7"/>
        <v>46270</v>
      </c>
      <c r="C34" s="4">
        <v>500</v>
      </c>
      <c r="D34" s="4">
        <v>0</v>
      </c>
      <c r="E34" s="6"/>
      <c r="F34" s="7"/>
      <c r="H34" s="4">
        <v>509</v>
      </c>
      <c r="I34" s="1">
        <f t="shared" si="6"/>
        <v>9</v>
      </c>
    </row>
    <row r="35" spans="1:9" x14ac:dyDescent="0.3">
      <c r="B35" s="19" t="s">
        <v>11</v>
      </c>
      <c r="C35" s="2">
        <f>SUM(C28:C34)</f>
        <v>2500</v>
      </c>
      <c r="D35" s="2">
        <f>SUM(D28:D34)</f>
        <v>0</v>
      </c>
      <c r="E35" s="6"/>
      <c r="F35" s="7"/>
      <c r="H35" s="2">
        <f t="shared" ref="H35:I35" si="8">SUM(H28:H34)</f>
        <v>509</v>
      </c>
      <c r="I35" s="2">
        <f t="shared" si="8"/>
        <v>-1991</v>
      </c>
    </row>
    <row r="36" spans="1:9" x14ac:dyDescent="0.3">
      <c r="B36" s="19" t="s">
        <v>12</v>
      </c>
      <c r="C36" s="3">
        <f>SUM(C35+C27+C19+C11)</f>
        <v>7000</v>
      </c>
      <c r="D36" s="3">
        <f>SUM(D35+D27+D19+D11)</f>
        <v>6000</v>
      </c>
      <c r="E36" s="6"/>
      <c r="F36" s="7"/>
      <c r="H36" s="3">
        <f t="shared" ref="H36:I36" si="9">SUM(H35+H27+H19+H11)</f>
        <v>509</v>
      </c>
      <c r="I36" s="3">
        <f t="shared" si="9"/>
        <v>-6491</v>
      </c>
    </row>
    <row r="37" spans="1:9" ht="15" thickBot="1" x14ac:dyDescent="0.35">
      <c r="B37" s="19" t="s">
        <v>13</v>
      </c>
      <c r="C37" s="1">
        <f>D36+C36</f>
        <v>13000</v>
      </c>
      <c r="E37" s="24"/>
      <c r="F37" s="25"/>
      <c r="H37" s="1">
        <f t="shared" ref="H37:I37" si="10">I36+H36</f>
        <v>-5982</v>
      </c>
      <c r="I37" s="1">
        <f t="shared" si="10"/>
        <v>-6491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500</v>
      </c>
      <c r="E39" s="6" t="s">
        <v>393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390</v>
      </c>
      <c r="F48" s="7"/>
      <c r="H48" s="4">
        <v>68</v>
      </c>
      <c r="I48" s="1">
        <f>H48-C48</f>
        <v>68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390</v>
      </c>
      <c r="F49" s="7"/>
      <c r="H49" s="4">
        <v>-10</v>
      </c>
      <c r="I49" s="1">
        <f t="shared" ref="I49:I54" si="11">H49-C49</f>
        <v>-10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390</v>
      </c>
      <c r="F50" s="7"/>
      <c r="H50" s="4">
        <v>4</v>
      </c>
      <c r="I50" s="1">
        <f t="shared" si="11"/>
        <v>4</v>
      </c>
    </row>
    <row r="51" spans="1:9" x14ac:dyDescent="0.3">
      <c r="A51" s="41"/>
      <c r="B51" s="41" t="s">
        <v>24</v>
      </c>
      <c r="C51" s="4">
        <v>500</v>
      </c>
      <c r="D51" s="4">
        <v>2000</v>
      </c>
      <c r="E51" s="6" t="s">
        <v>391</v>
      </c>
      <c r="F51" s="7" t="s">
        <v>394</v>
      </c>
      <c r="H51" s="4">
        <v>482</v>
      </c>
      <c r="I51" s="1">
        <f t="shared" si="11"/>
        <v>-18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 t="s">
        <v>390</v>
      </c>
      <c r="F52" s="7"/>
      <c r="H52" s="4">
        <v>21</v>
      </c>
      <c r="I52" s="1">
        <f t="shared" si="11"/>
        <v>21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390</v>
      </c>
      <c r="F53" s="7"/>
      <c r="H53" s="4">
        <v>-55</v>
      </c>
      <c r="I53" s="1">
        <f t="shared" si="11"/>
        <v>-55</v>
      </c>
    </row>
    <row r="54" spans="1:9" x14ac:dyDescent="0.3">
      <c r="A54" s="41"/>
      <c r="B54" s="41" t="s">
        <v>27</v>
      </c>
      <c r="C54" s="4">
        <v>1000</v>
      </c>
      <c r="D54" s="4">
        <v>0</v>
      </c>
      <c r="E54" s="6" t="s">
        <v>390</v>
      </c>
      <c r="F54" s="7"/>
      <c r="H54" s="4">
        <v>1015</v>
      </c>
      <c r="I54" s="1">
        <f t="shared" si="11"/>
        <v>15</v>
      </c>
    </row>
    <row r="55" spans="1:9" x14ac:dyDescent="0.3">
      <c r="A55" s="41"/>
      <c r="B55" s="41" t="s">
        <v>29</v>
      </c>
      <c r="C55" s="2">
        <f>SUM(C48:C54)</f>
        <v>1500</v>
      </c>
      <c r="D55" s="2">
        <f>SUM(D48:D54)</f>
        <v>2000</v>
      </c>
      <c r="E55" s="6" t="s">
        <v>390</v>
      </c>
      <c r="F55" s="7"/>
      <c r="H55" s="2">
        <f>SUM(H48:H54)</f>
        <v>1525</v>
      </c>
      <c r="I55" s="2">
        <f>SUM(I48:I54)</f>
        <v>25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390</v>
      </c>
      <c r="F56" s="7"/>
      <c r="H56" s="4">
        <v>9</v>
      </c>
      <c r="I56" s="1">
        <f>H56-C56</f>
        <v>9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390</v>
      </c>
      <c r="F57" s="7"/>
      <c r="H57" s="4">
        <v>6</v>
      </c>
      <c r="I57" s="1">
        <f t="shared" ref="I57:I62" si="12">H57-C57</f>
        <v>6</v>
      </c>
    </row>
    <row r="58" spans="1:9" x14ac:dyDescent="0.3">
      <c r="A58" s="41"/>
      <c r="B58" s="41" t="s">
        <v>32</v>
      </c>
      <c r="C58" s="4">
        <v>500</v>
      </c>
      <c r="D58" s="4">
        <v>2000</v>
      </c>
      <c r="E58" s="6" t="s">
        <v>390</v>
      </c>
      <c r="F58" s="7" t="s">
        <v>394</v>
      </c>
      <c r="H58" s="4">
        <v>555.44000000000005</v>
      </c>
      <c r="I58" s="1">
        <f t="shared" si="12"/>
        <v>55.440000000000055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395</v>
      </c>
      <c r="F59" s="7"/>
      <c r="H59" s="4">
        <v>-34.03</v>
      </c>
      <c r="I59" s="1">
        <f t="shared" si="12"/>
        <v>-34.03</v>
      </c>
    </row>
    <row r="60" spans="1:9" x14ac:dyDescent="0.3">
      <c r="A60" s="41"/>
      <c r="B60" s="41" t="s">
        <v>35</v>
      </c>
      <c r="C60" s="4">
        <v>500</v>
      </c>
      <c r="D60" s="4">
        <v>0</v>
      </c>
      <c r="E60" s="6" t="s">
        <v>390</v>
      </c>
      <c r="F60" s="7" t="s">
        <v>396</v>
      </c>
      <c r="H60" s="4">
        <v>585</v>
      </c>
      <c r="I60" s="1">
        <f t="shared" si="12"/>
        <v>85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390</v>
      </c>
      <c r="F61" s="7"/>
      <c r="H61" s="4">
        <v>27</v>
      </c>
      <c r="I61" s="1">
        <f t="shared" si="12"/>
        <v>27</v>
      </c>
    </row>
    <row r="62" spans="1:9" x14ac:dyDescent="0.3">
      <c r="A62" s="41"/>
      <c r="B62" s="41" t="s">
        <v>37</v>
      </c>
      <c r="C62" s="4">
        <v>1000</v>
      </c>
      <c r="D62" s="4">
        <v>0</v>
      </c>
      <c r="E62" s="6" t="s">
        <v>390</v>
      </c>
      <c r="F62" s="7" t="s">
        <v>396</v>
      </c>
      <c r="H62" s="4">
        <v>857</v>
      </c>
      <c r="I62" s="1">
        <f t="shared" si="12"/>
        <v>-143</v>
      </c>
    </row>
    <row r="63" spans="1:9" x14ac:dyDescent="0.3">
      <c r="A63" s="41"/>
      <c r="B63" s="41" t="s">
        <v>29</v>
      </c>
      <c r="C63" s="2">
        <f>SUM(C56:C62)</f>
        <v>2000</v>
      </c>
      <c r="D63" s="2">
        <f>SUM(D56:D62)</f>
        <v>2000</v>
      </c>
      <c r="E63" s="6"/>
      <c r="F63" s="7"/>
      <c r="H63" s="2">
        <f>SUM(H56:H62)</f>
        <v>2005.41</v>
      </c>
      <c r="I63" s="2">
        <f>SUM(I56:I62)</f>
        <v>5.4100000000000534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397</v>
      </c>
      <c r="F64" s="7" t="s">
        <v>398</v>
      </c>
      <c r="H64" s="4">
        <v>-70</v>
      </c>
      <c r="I64" s="1">
        <f>H64-C64</f>
        <v>-70</v>
      </c>
    </row>
    <row r="65" spans="1:9" x14ac:dyDescent="0.3">
      <c r="A65" s="41"/>
      <c r="B65" s="41" t="s">
        <v>39</v>
      </c>
      <c r="C65" s="4">
        <v>500</v>
      </c>
      <c r="D65" s="4">
        <v>0</v>
      </c>
      <c r="E65" s="6" t="s">
        <v>390</v>
      </c>
      <c r="F65" s="7" t="s">
        <v>396</v>
      </c>
      <c r="H65" s="4">
        <v>594</v>
      </c>
      <c r="I65" s="1">
        <f t="shared" ref="I65:I70" si="13">H65-C65</f>
        <v>94</v>
      </c>
    </row>
    <row r="66" spans="1:9" x14ac:dyDescent="0.3">
      <c r="A66" s="41"/>
      <c r="B66" s="41" t="s">
        <v>40</v>
      </c>
      <c r="C66" s="4">
        <v>0</v>
      </c>
      <c r="D66" s="4">
        <v>2000</v>
      </c>
      <c r="E66" s="6" t="s">
        <v>390</v>
      </c>
      <c r="F66" s="7" t="s">
        <v>399</v>
      </c>
      <c r="H66" s="4">
        <v>4.95</v>
      </c>
      <c r="I66" s="1">
        <f t="shared" si="13"/>
        <v>4.95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391</v>
      </c>
      <c r="F67" s="7"/>
      <c r="H67" s="4">
        <v>65</v>
      </c>
      <c r="I67" s="1">
        <f t="shared" si="13"/>
        <v>65</v>
      </c>
    </row>
    <row r="68" spans="1:9" x14ac:dyDescent="0.3">
      <c r="A68" s="41"/>
      <c r="B68" s="41" t="s">
        <v>42</v>
      </c>
      <c r="C68" s="4">
        <v>500</v>
      </c>
      <c r="D68" s="4">
        <v>0</v>
      </c>
      <c r="E68" s="6" t="s">
        <v>391</v>
      </c>
      <c r="F68" s="7" t="s">
        <v>396</v>
      </c>
      <c r="H68" s="4">
        <v>465</v>
      </c>
      <c r="I68" s="1">
        <f t="shared" si="13"/>
        <v>-35</v>
      </c>
    </row>
    <row r="69" spans="1:9" x14ac:dyDescent="0.3">
      <c r="A69" s="41"/>
      <c r="B69" s="41" t="s">
        <v>44</v>
      </c>
      <c r="C69" s="4">
        <v>500</v>
      </c>
      <c r="D69" s="4">
        <v>0</v>
      </c>
      <c r="E69" s="6" t="s">
        <v>391</v>
      </c>
      <c r="F69" s="7" t="s">
        <v>396</v>
      </c>
      <c r="H69" s="4">
        <v>519</v>
      </c>
      <c r="I69" s="1">
        <f t="shared" si="13"/>
        <v>19</v>
      </c>
    </row>
    <row r="70" spans="1:9" x14ac:dyDescent="0.3">
      <c r="A70" s="41"/>
      <c r="B70" s="41" t="s">
        <v>45</v>
      </c>
      <c r="C70" s="4">
        <v>500</v>
      </c>
      <c r="D70" s="4">
        <v>0</v>
      </c>
      <c r="E70" s="6" t="s">
        <v>391</v>
      </c>
      <c r="F70" s="7" t="s">
        <v>396</v>
      </c>
      <c r="H70" s="4">
        <v>548</v>
      </c>
      <c r="I70" s="1">
        <f t="shared" si="13"/>
        <v>48</v>
      </c>
    </row>
    <row r="71" spans="1:9" x14ac:dyDescent="0.3">
      <c r="A71" s="41"/>
      <c r="B71" s="41" t="s">
        <v>29</v>
      </c>
      <c r="C71" s="2">
        <f>SUM(C64:C70)</f>
        <v>2000</v>
      </c>
      <c r="D71" s="2">
        <f>SUM(D64:D70)</f>
        <v>2000</v>
      </c>
      <c r="E71" s="6"/>
      <c r="F71" s="7"/>
      <c r="H71" s="2">
        <f>SUM(H64:H70)</f>
        <v>2125.9499999999998</v>
      </c>
      <c r="I71" s="2">
        <f>SUM(I64:I70)</f>
        <v>125.95</v>
      </c>
    </row>
    <row r="72" spans="1:9" x14ac:dyDescent="0.3">
      <c r="A72" s="41"/>
      <c r="B72" s="41" t="s">
        <v>46</v>
      </c>
      <c r="C72" s="4">
        <v>500</v>
      </c>
      <c r="D72" s="4">
        <v>0</v>
      </c>
      <c r="E72" s="6" t="s">
        <v>390</v>
      </c>
      <c r="F72" s="7" t="s">
        <v>400</v>
      </c>
      <c r="H72" s="4">
        <v>521</v>
      </c>
      <c r="I72" s="1">
        <f>H72-C72</f>
        <v>21</v>
      </c>
    </row>
    <row r="73" spans="1:9" x14ac:dyDescent="0.3">
      <c r="A73" s="41"/>
      <c r="B73" s="41" t="s">
        <v>47</v>
      </c>
      <c r="C73" s="4">
        <v>500</v>
      </c>
      <c r="D73" s="4">
        <v>0</v>
      </c>
      <c r="E73" s="6" t="s">
        <v>390</v>
      </c>
      <c r="F73" s="7" t="s">
        <v>401</v>
      </c>
      <c r="H73" s="4">
        <v>497</v>
      </c>
      <c r="I73" s="1">
        <f t="shared" ref="I73:I78" si="14">H73-C73</f>
        <v>-3</v>
      </c>
    </row>
    <row r="74" spans="1:9" x14ac:dyDescent="0.3">
      <c r="A74" s="41"/>
      <c r="B74" s="41" t="s">
        <v>48</v>
      </c>
      <c r="C74" s="4">
        <v>0</v>
      </c>
      <c r="D74" s="4">
        <v>2000</v>
      </c>
      <c r="E74" s="6" t="s">
        <v>390</v>
      </c>
      <c r="F74" s="7" t="s">
        <v>399</v>
      </c>
      <c r="H74" s="4">
        <v>25.97</v>
      </c>
      <c r="I74" s="1">
        <f t="shared" si="14"/>
        <v>25.97</v>
      </c>
    </row>
    <row r="75" spans="1:9" x14ac:dyDescent="0.3">
      <c r="A75" s="41"/>
      <c r="B75" s="41" t="s">
        <v>50</v>
      </c>
      <c r="C75" s="4">
        <v>500</v>
      </c>
      <c r="D75" s="4">
        <v>0</v>
      </c>
      <c r="E75" s="6" t="s">
        <v>391</v>
      </c>
      <c r="F75" s="7" t="s">
        <v>401</v>
      </c>
      <c r="H75" s="4">
        <v>507</v>
      </c>
      <c r="I75" s="1">
        <f t="shared" si="14"/>
        <v>7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391</v>
      </c>
      <c r="F76" s="7"/>
      <c r="H76" s="4">
        <v>43.79</v>
      </c>
      <c r="I76" s="1">
        <f t="shared" si="14"/>
        <v>43.79</v>
      </c>
    </row>
    <row r="77" spans="1:9" x14ac:dyDescent="0.3">
      <c r="A77" s="41"/>
      <c r="B77" s="41" t="s">
        <v>52</v>
      </c>
      <c r="C77" s="4">
        <v>500</v>
      </c>
      <c r="D77" s="4">
        <v>0</v>
      </c>
      <c r="E77" s="6" t="s">
        <v>391</v>
      </c>
      <c r="F77" s="7" t="s">
        <v>401</v>
      </c>
      <c r="H77" s="4">
        <v>469</v>
      </c>
      <c r="I77" s="1">
        <f t="shared" si="14"/>
        <v>-31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391</v>
      </c>
      <c r="F78" s="7"/>
      <c r="H78" s="4">
        <v>5</v>
      </c>
      <c r="I78" s="1">
        <f t="shared" si="14"/>
        <v>5</v>
      </c>
    </row>
    <row r="79" spans="1:9" x14ac:dyDescent="0.3">
      <c r="A79" s="41"/>
      <c r="B79" s="41" t="s">
        <v>11</v>
      </c>
      <c r="C79" s="2">
        <f>SUM(C72:C78)</f>
        <v>2000</v>
      </c>
      <c r="D79" s="2">
        <f>SUM(D72:D78)</f>
        <v>2000</v>
      </c>
      <c r="E79" s="6"/>
      <c r="F79" s="7"/>
      <c r="H79" s="2">
        <f t="shared" ref="H79:I79" si="15">SUM(H72:H78)</f>
        <v>2068.7600000000002</v>
      </c>
      <c r="I79" s="2">
        <f t="shared" si="15"/>
        <v>68.759999999999991</v>
      </c>
    </row>
    <row r="80" spans="1:9" x14ac:dyDescent="0.3">
      <c r="A80" s="41"/>
      <c r="B80" s="41" t="s">
        <v>12</v>
      </c>
      <c r="C80" s="3">
        <f>SUM(C79+C71+C63+C55)</f>
        <v>7500</v>
      </c>
      <c r="D80" s="3">
        <f>SUM(D79+D71+D63+D55)</f>
        <v>8000</v>
      </c>
      <c r="E80" s="6"/>
      <c r="F80" s="7"/>
      <c r="H80" s="3">
        <f t="shared" ref="H80:I80" si="16">SUM(H79+H71+H63+H55)</f>
        <v>7725.12</v>
      </c>
      <c r="I80" s="3">
        <f t="shared" si="16"/>
        <v>225.12000000000003</v>
      </c>
    </row>
    <row r="81" spans="1:9" x14ac:dyDescent="0.3">
      <c r="A81" s="41"/>
      <c r="B81" s="41" t="s">
        <v>13</v>
      </c>
      <c r="C81" s="1">
        <f>D80+C80</f>
        <v>15500</v>
      </c>
      <c r="E81" s="24"/>
      <c r="F81" s="25"/>
      <c r="H81" s="1">
        <f t="shared" ref="H81:I81" si="17">I80+H80</f>
        <v>7950.24</v>
      </c>
      <c r="I81" s="1">
        <f t="shared" si="17"/>
        <v>225.12000000000003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1000</v>
      </c>
      <c r="D83" s="41"/>
      <c r="E83" s="43" t="s">
        <v>393</v>
      </c>
      <c r="F83" s="50" t="s">
        <v>402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500</v>
      </c>
      <c r="D92" s="4">
        <v>0</v>
      </c>
      <c r="E92" s="6" t="s">
        <v>403</v>
      </c>
      <c r="F92" s="7" t="s">
        <v>404</v>
      </c>
      <c r="H92" s="4">
        <v>501</v>
      </c>
      <c r="I92" s="1">
        <f>H92-C92</f>
        <v>1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405</v>
      </c>
      <c r="F93" s="7"/>
      <c r="H93" s="4">
        <v>45</v>
      </c>
      <c r="I93" s="1">
        <f t="shared" ref="I93:I98" si="18">H93-C93</f>
        <v>45</v>
      </c>
    </row>
    <row r="94" spans="1:9" x14ac:dyDescent="0.3">
      <c r="A94" s="41"/>
      <c r="B94" s="41" t="s">
        <v>61</v>
      </c>
      <c r="C94" s="4">
        <v>500</v>
      </c>
      <c r="D94" s="4">
        <v>2000</v>
      </c>
      <c r="E94" s="6" t="s">
        <v>390</v>
      </c>
      <c r="F94" s="7" t="s">
        <v>406</v>
      </c>
      <c r="H94" s="4">
        <v>508</v>
      </c>
      <c r="I94" s="1">
        <f t="shared" si="18"/>
        <v>8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391</v>
      </c>
      <c r="F95" s="7"/>
      <c r="H95" s="4">
        <v>18</v>
      </c>
      <c r="I95" s="1">
        <f t="shared" si="18"/>
        <v>18</v>
      </c>
    </row>
    <row r="96" spans="1:9" x14ac:dyDescent="0.3">
      <c r="A96" s="41"/>
      <c r="B96" s="41" t="s">
        <v>64</v>
      </c>
      <c r="C96" s="4">
        <v>500</v>
      </c>
      <c r="D96" s="4">
        <v>0</v>
      </c>
      <c r="E96" s="6" t="s">
        <v>391</v>
      </c>
      <c r="F96" s="7" t="s">
        <v>401</v>
      </c>
      <c r="H96" s="4">
        <v>496</v>
      </c>
      <c r="I96" s="1">
        <f t="shared" si="18"/>
        <v>-4</v>
      </c>
    </row>
    <row r="97" spans="1:9" x14ac:dyDescent="0.3">
      <c r="A97" s="41"/>
      <c r="B97" s="41" t="s">
        <v>65</v>
      </c>
      <c r="C97" s="4">
        <v>0</v>
      </c>
      <c r="D97" s="4">
        <v>0</v>
      </c>
      <c r="E97" s="6" t="s">
        <v>391</v>
      </c>
      <c r="F97" s="7"/>
      <c r="H97" s="4">
        <v>2</v>
      </c>
      <c r="I97" s="1">
        <f t="shared" si="18"/>
        <v>2</v>
      </c>
    </row>
    <row r="98" spans="1:9" x14ac:dyDescent="0.3">
      <c r="A98" s="41"/>
      <c r="B98" s="41" t="s">
        <v>66</v>
      </c>
      <c r="C98" s="4">
        <v>500</v>
      </c>
      <c r="D98" s="4">
        <v>0</v>
      </c>
      <c r="E98" s="6" t="s">
        <v>391</v>
      </c>
      <c r="F98" s="7"/>
      <c r="H98" s="4">
        <v>468</v>
      </c>
      <c r="I98" s="1">
        <f t="shared" si="18"/>
        <v>-32</v>
      </c>
    </row>
    <row r="99" spans="1:9" x14ac:dyDescent="0.3">
      <c r="A99" s="41"/>
      <c r="B99" s="41" t="s">
        <v>29</v>
      </c>
      <c r="C99" s="2">
        <f>SUM(C92:C98)</f>
        <v>2000</v>
      </c>
      <c r="D99" s="2">
        <f>SUM(D92:D98)</f>
        <v>2000</v>
      </c>
      <c r="E99" s="6"/>
      <c r="F99" s="7"/>
      <c r="H99" s="2">
        <f>SUM(H92:H98)</f>
        <v>2038</v>
      </c>
      <c r="I99" s="2">
        <f>SUM(I92:I98)</f>
        <v>38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" t="s">
        <v>391</v>
      </c>
      <c r="F100" s="7" t="s">
        <v>398</v>
      </c>
      <c r="H100" s="4">
        <v>61</v>
      </c>
      <c r="I100" s="1">
        <f>H100-C100</f>
        <v>61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19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19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19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9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9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9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61</v>
      </c>
      <c r="I107" s="2">
        <f>SUM(I100:I106)</f>
        <v>61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0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0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0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0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0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0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1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1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1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1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1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21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2">SUM(H116:H122)</f>
        <v>0</v>
      </c>
      <c r="I123" s="2">
        <f t="shared" si="22"/>
        <v>0</v>
      </c>
    </row>
    <row r="124" spans="1:9" x14ac:dyDescent="0.3">
      <c r="A124" s="41"/>
      <c r="B124" s="41" t="s">
        <v>12</v>
      </c>
      <c r="C124" s="3">
        <f>SUM(C123+C115+C107+C99)</f>
        <v>2000</v>
      </c>
      <c r="D124" s="3">
        <f>SUM(D123+D115+D107+D99)</f>
        <v>2000</v>
      </c>
      <c r="E124" s="6"/>
      <c r="F124" s="7"/>
      <c r="H124" s="3">
        <f t="shared" ref="H124:I124" si="23">SUM(H123+H115+H107+H99)</f>
        <v>2099</v>
      </c>
      <c r="I124" s="3">
        <f t="shared" si="23"/>
        <v>99</v>
      </c>
    </row>
    <row r="125" spans="1:9" x14ac:dyDescent="0.3">
      <c r="A125" s="41"/>
      <c r="B125" s="41" t="s">
        <v>13</v>
      </c>
      <c r="C125" s="1">
        <f>D124+C124</f>
        <v>4000</v>
      </c>
      <c r="E125" s="24"/>
      <c r="F125" s="25"/>
      <c r="H125" s="1">
        <f t="shared" ref="H125:I125" si="24">I124+H124</f>
        <v>2198</v>
      </c>
      <c r="I125" s="1">
        <f t="shared" si="24"/>
        <v>99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5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5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5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5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5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5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6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6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6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6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6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6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7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7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7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7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7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7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8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8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8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8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8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8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9">SUM(H160:H166)</f>
        <v>0</v>
      </c>
      <c r="I167" s="2">
        <f t="shared" si="29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0">SUM(H167+H159+H151+H143)</f>
        <v>0</v>
      </c>
      <c r="I168" s="3">
        <f t="shared" si="30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1">I168+H168</f>
        <v>0</v>
      </c>
      <c r="I169" s="1">
        <f t="shared" si="31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2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2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2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2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2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2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3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3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3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3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3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3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4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4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4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4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4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4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5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5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5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5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5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5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6">SUM(H204:H210)</f>
        <v>0</v>
      </c>
      <c r="I211" s="2">
        <f t="shared" si="36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7">SUM(H211+H203+H195+H187)</f>
        <v>0</v>
      </c>
      <c r="I212" s="3">
        <f t="shared" si="37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8">I212+H212</f>
        <v>0</v>
      </c>
      <c r="I213" s="1">
        <f t="shared" si="38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C69512-AB87-4B3D-AE48-C123706454E2}">
  <sheetPr codeName="Sheet16"/>
  <dimension ref="A1:I222"/>
  <sheetViews>
    <sheetView showGridLines="0" workbookViewId="0">
      <pane xSplit="2" ySplit="3" topLeftCell="C87" activePane="bottomRight" state="frozen"/>
      <selection pane="topRight" activeCell="C23" sqref="C23"/>
      <selection pane="bottomLeft" activeCell="C23" sqref="C23"/>
      <selection pane="bottomRight" activeCell="H95" sqref="H95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407</v>
      </c>
      <c r="D1" s="14"/>
    </row>
    <row r="2" spans="2:9" x14ac:dyDescent="0.3">
      <c r="C2" s="5" t="s">
        <v>1</v>
      </c>
      <c r="D2" s="5"/>
    </row>
    <row r="3" spans="2:9" ht="86.4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/>
      <c r="I7" s="1">
        <f t="shared" si="0"/>
        <v>0</v>
      </c>
    </row>
    <row r="8" spans="2:9" x14ac:dyDescent="0.3">
      <c r="B8" s="20">
        <f t="shared" si="1"/>
        <v>46247</v>
      </c>
      <c r="C8" s="4">
        <v>0</v>
      </c>
      <c r="D8" s="4">
        <v>805</v>
      </c>
      <c r="E8" s="6" t="s">
        <v>375</v>
      </c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-805</v>
      </c>
      <c r="D9" s="4">
        <v>0</v>
      </c>
      <c r="E9" s="6" t="s">
        <v>375</v>
      </c>
      <c r="F9" s="7"/>
      <c r="H9" s="4"/>
      <c r="I9" s="1">
        <f t="shared" si="0"/>
        <v>805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/>
      <c r="I10" s="1">
        <f t="shared" si="0"/>
        <v>0</v>
      </c>
    </row>
    <row r="11" spans="2:9" x14ac:dyDescent="0.3">
      <c r="B11" s="21" t="s">
        <v>11</v>
      </c>
      <c r="C11" s="2">
        <f>SUM(C4:C10)</f>
        <v>-805</v>
      </c>
      <c r="D11" s="2">
        <f>SUM(D4:D10)</f>
        <v>805</v>
      </c>
      <c r="E11" s="6"/>
      <c r="F11" s="7"/>
      <c r="H11" s="2">
        <f>SUM(H4:H10)</f>
        <v>0</v>
      </c>
      <c r="I11" s="2">
        <f>SUM(I4:I10)</f>
        <v>805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0</v>
      </c>
      <c r="D16" s="4">
        <v>800</v>
      </c>
      <c r="E16" s="6" t="s">
        <v>375</v>
      </c>
      <c r="F16" s="7"/>
      <c r="H16" s="4"/>
      <c r="I16" s="1">
        <f t="shared" si="2"/>
        <v>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-800</v>
      </c>
      <c r="D18" s="4">
        <v>0</v>
      </c>
      <c r="E18" s="6" t="s">
        <v>375</v>
      </c>
      <c r="F18" s="7"/>
      <c r="H18" s="4"/>
      <c r="I18" s="1">
        <f t="shared" si="2"/>
        <v>800</v>
      </c>
    </row>
    <row r="19" spans="2:9" x14ac:dyDescent="0.3">
      <c r="B19" s="21" t="s">
        <v>11</v>
      </c>
      <c r="C19" s="2">
        <f>SUM(C12:C18)</f>
        <v>-800</v>
      </c>
      <c r="D19" s="2">
        <f>SUM(D12:D18)</f>
        <v>800</v>
      </c>
      <c r="E19" s="6"/>
      <c r="F19" s="7"/>
      <c r="H19" s="2">
        <f>SUM(H12:H18)</f>
        <v>0</v>
      </c>
      <c r="I19" s="2">
        <f>SUM(I12:I18)</f>
        <v>800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/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/>
      <c r="F23" s="7"/>
      <c r="H23" s="4"/>
      <c r="I23" s="1">
        <f t="shared" si="4"/>
        <v>0</v>
      </c>
    </row>
    <row r="24" spans="2:9" x14ac:dyDescent="0.3">
      <c r="B24" s="20">
        <f t="shared" si="5"/>
        <v>46261</v>
      </c>
      <c r="C24" s="4">
        <v>0</v>
      </c>
      <c r="D24" s="4">
        <v>800</v>
      </c>
      <c r="E24" s="6" t="s">
        <v>375</v>
      </c>
      <c r="F24" s="7"/>
      <c r="H24" s="4"/>
      <c r="I24" s="1">
        <f t="shared" si="4"/>
        <v>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/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800</v>
      </c>
      <c r="D26" s="4">
        <v>0</v>
      </c>
      <c r="E26" s="6" t="s">
        <v>375</v>
      </c>
      <c r="F26" s="7"/>
      <c r="H26" s="4"/>
      <c r="I26" s="1">
        <f t="shared" si="4"/>
        <v>-800</v>
      </c>
    </row>
    <row r="27" spans="2:9" x14ac:dyDescent="0.3">
      <c r="B27" s="21" t="s">
        <v>11</v>
      </c>
      <c r="C27" s="2">
        <f>SUM(C20:C26)</f>
        <v>800</v>
      </c>
      <c r="D27" s="2">
        <f>SUM(D20:D26)</f>
        <v>800</v>
      </c>
      <c r="E27" s="6"/>
      <c r="F27" s="7"/>
      <c r="H27" s="2">
        <f>SUM(H20:H26)</f>
        <v>0</v>
      </c>
      <c r="I27" s="2">
        <f>SUM(I20:I26)</f>
        <v>-800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/>
      <c r="I28" s="1">
        <f>H28-C28</f>
        <v>0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/>
      <c r="I29" s="1">
        <f t="shared" ref="I29:I34" si="6">H29-C29</f>
        <v>0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/>
      <c r="I30" s="1">
        <f t="shared" si="6"/>
        <v>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/>
      <c r="I31" s="1">
        <f t="shared" si="6"/>
        <v>0</v>
      </c>
    </row>
    <row r="32" spans="2:9" x14ac:dyDescent="0.3">
      <c r="B32" s="20">
        <f t="shared" si="7"/>
        <v>46268</v>
      </c>
      <c r="C32" s="4">
        <v>0</v>
      </c>
      <c r="D32" s="4">
        <v>855</v>
      </c>
      <c r="E32" s="6" t="s">
        <v>375</v>
      </c>
      <c r="F32" s="7"/>
      <c r="H32" s="4"/>
      <c r="I32" s="1">
        <f t="shared" si="6"/>
        <v>0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/>
      <c r="I33" s="1">
        <f t="shared" si="6"/>
        <v>0</v>
      </c>
    </row>
    <row r="34" spans="1:9" ht="15" thickBot="1" x14ac:dyDescent="0.35">
      <c r="B34" s="20">
        <f t="shared" si="7"/>
        <v>46270</v>
      </c>
      <c r="C34" s="4">
        <v>855</v>
      </c>
      <c r="D34" s="4">
        <v>0</v>
      </c>
      <c r="E34" s="6" t="s">
        <v>375</v>
      </c>
      <c r="F34" s="7"/>
      <c r="H34" s="4"/>
      <c r="I34" s="1">
        <f t="shared" si="6"/>
        <v>-855</v>
      </c>
    </row>
    <row r="35" spans="1:9" x14ac:dyDescent="0.3">
      <c r="B35" s="19" t="s">
        <v>11</v>
      </c>
      <c r="C35" s="2">
        <f>SUM(C28:C34)</f>
        <v>855</v>
      </c>
      <c r="D35" s="2">
        <f>SUM(D28:D34)</f>
        <v>855</v>
      </c>
      <c r="E35" s="6"/>
      <c r="F35" s="7"/>
      <c r="H35" s="2">
        <f t="shared" ref="H35:I35" si="8">SUM(H28:H34)</f>
        <v>0</v>
      </c>
      <c r="I35" s="2">
        <f t="shared" si="8"/>
        <v>-855</v>
      </c>
    </row>
    <row r="36" spans="1:9" x14ac:dyDescent="0.3">
      <c r="B36" s="19" t="s">
        <v>12</v>
      </c>
      <c r="C36" s="3">
        <f>SUM(C35+C27+C19+C11)</f>
        <v>50</v>
      </c>
      <c r="D36" s="3">
        <f>SUM(D35+D27+D19+D11)</f>
        <v>3260</v>
      </c>
      <c r="E36" s="6"/>
      <c r="F36" s="7"/>
      <c r="H36" s="3">
        <f t="shared" ref="H36:I36" si="9">SUM(H35+H27+H19+H11)</f>
        <v>0</v>
      </c>
      <c r="I36" s="3">
        <f t="shared" si="9"/>
        <v>-50</v>
      </c>
    </row>
    <row r="37" spans="1:9" ht="15" thickBot="1" x14ac:dyDescent="0.35">
      <c r="B37" s="19" t="s">
        <v>13</v>
      </c>
      <c r="C37" s="1">
        <f>D36+C36</f>
        <v>3310</v>
      </c>
      <c r="E37" s="24"/>
      <c r="F37" s="25"/>
      <c r="H37" s="1">
        <f t="shared" ref="H37:I37" si="10">I36+H36</f>
        <v>-50</v>
      </c>
      <c r="I37" s="1">
        <f t="shared" si="10"/>
        <v>-50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0</v>
      </c>
      <c r="E39" s="6"/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3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227</v>
      </c>
      <c r="F48" s="79" t="s">
        <v>408</v>
      </c>
      <c r="H48" s="4">
        <v>19</v>
      </c>
      <c r="I48" s="1">
        <f>H48-C48</f>
        <v>19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227</v>
      </c>
      <c r="F49" s="79" t="s">
        <v>409</v>
      </c>
      <c r="H49" s="4">
        <v>-46</v>
      </c>
      <c r="I49" s="1">
        <f t="shared" ref="I49:I54" si="11">H49-C49</f>
        <v>-46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227</v>
      </c>
      <c r="F50" s="7" t="s">
        <v>410</v>
      </c>
      <c r="H50" s="4">
        <v>-11</v>
      </c>
      <c r="I50" s="1">
        <f t="shared" si="11"/>
        <v>-11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 t="s">
        <v>411</v>
      </c>
      <c r="F51" s="7" t="s">
        <v>412</v>
      </c>
      <c r="H51" s="4">
        <v>-21</v>
      </c>
      <c r="I51" s="1">
        <f t="shared" si="11"/>
        <v>-21</v>
      </c>
    </row>
    <row r="52" spans="1:9" x14ac:dyDescent="0.3">
      <c r="A52" s="41"/>
      <c r="B52" s="41" t="s">
        <v>25</v>
      </c>
      <c r="C52" s="4">
        <v>0</v>
      </c>
      <c r="D52" s="4">
        <v>875</v>
      </c>
      <c r="E52" s="6" t="s">
        <v>413</v>
      </c>
      <c r="F52" s="7" t="s">
        <v>414</v>
      </c>
      <c r="H52" s="4">
        <v>43</v>
      </c>
      <c r="I52" s="1">
        <f t="shared" si="11"/>
        <v>43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413</v>
      </c>
      <c r="F53" s="7" t="s">
        <v>415</v>
      </c>
      <c r="H53" s="4">
        <v>24</v>
      </c>
      <c r="I53" s="1">
        <f t="shared" si="11"/>
        <v>24</v>
      </c>
    </row>
    <row r="54" spans="1:9" x14ac:dyDescent="0.3">
      <c r="A54" s="41"/>
      <c r="B54" s="41" t="s">
        <v>27</v>
      </c>
      <c r="C54" s="4">
        <v>875</v>
      </c>
      <c r="D54" s="4">
        <v>0</v>
      </c>
      <c r="E54" s="6" t="s">
        <v>413</v>
      </c>
      <c r="F54" s="7" t="s">
        <v>416</v>
      </c>
      <c r="H54" s="4">
        <v>848</v>
      </c>
      <c r="I54" s="1">
        <f t="shared" si="11"/>
        <v>-27</v>
      </c>
    </row>
    <row r="55" spans="1:9" x14ac:dyDescent="0.3">
      <c r="A55" s="41"/>
      <c r="B55" s="41" t="s">
        <v>29</v>
      </c>
      <c r="C55" s="2">
        <f>SUM(C48:C54)</f>
        <v>875</v>
      </c>
      <c r="D55" s="2">
        <f>SUM(D48:D54)</f>
        <v>875</v>
      </c>
      <c r="E55" s="6" t="s">
        <v>413</v>
      </c>
      <c r="F55" s="7"/>
      <c r="H55" s="2">
        <f>SUM(H48:H54)</f>
        <v>856</v>
      </c>
      <c r="I55" s="2">
        <f>SUM(I48:I54)</f>
        <v>-19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227</v>
      </c>
      <c r="F56" s="7" t="s">
        <v>417</v>
      </c>
      <c r="H56" s="4">
        <v>20</v>
      </c>
      <c r="I56" s="1">
        <f>H56-C56</f>
        <v>20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227</v>
      </c>
      <c r="F57" s="7" t="s">
        <v>418</v>
      </c>
      <c r="H57" s="4">
        <v>-4</v>
      </c>
      <c r="I57" s="1">
        <f t="shared" ref="I57:I62" si="12">H57-C57</f>
        <v>-4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" t="s">
        <v>419</v>
      </c>
      <c r="F58" s="7" t="s">
        <v>420</v>
      </c>
      <c r="H58" s="4">
        <v>-478</v>
      </c>
      <c r="I58" s="1">
        <f t="shared" si="12"/>
        <v>-478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227</v>
      </c>
      <c r="F59" s="7" t="s">
        <v>421</v>
      </c>
      <c r="H59" s="4">
        <v>-46.59</v>
      </c>
      <c r="I59" s="1">
        <f t="shared" si="12"/>
        <v>-46.59</v>
      </c>
    </row>
    <row r="60" spans="1:9" x14ac:dyDescent="0.3">
      <c r="A60" s="41"/>
      <c r="B60" s="41" t="s">
        <v>35</v>
      </c>
      <c r="C60" s="4">
        <v>0</v>
      </c>
      <c r="D60" s="4">
        <v>850</v>
      </c>
      <c r="E60" s="6" t="s">
        <v>413</v>
      </c>
      <c r="F60" s="7" t="s">
        <v>422</v>
      </c>
      <c r="H60" s="4">
        <v>52</v>
      </c>
      <c r="I60" s="1">
        <f t="shared" si="12"/>
        <v>52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413</v>
      </c>
      <c r="F61" s="7" t="s">
        <v>423</v>
      </c>
      <c r="H61" s="4">
        <v>52.24</v>
      </c>
      <c r="I61" s="1">
        <f t="shared" si="12"/>
        <v>52.24</v>
      </c>
    </row>
    <row r="62" spans="1:9" x14ac:dyDescent="0.3">
      <c r="A62" s="41"/>
      <c r="B62" s="41" t="s">
        <v>37</v>
      </c>
      <c r="C62" s="4">
        <v>850</v>
      </c>
      <c r="D62" s="4">
        <v>0</v>
      </c>
      <c r="E62" s="6" t="s">
        <v>413</v>
      </c>
      <c r="F62" s="7" t="s">
        <v>424</v>
      </c>
      <c r="H62" s="4">
        <v>868</v>
      </c>
      <c r="I62" s="1">
        <f t="shared" si="12"/>
        <v>18</v>
      </c>
    </row>
    <row r="63" spans="1:9" x14ac:dyDescent="0.3">
      <c r="A63" s="41"/>
      <c r="B63" s="41" t="s">
        <v>29</v>
      </c>
      <c r="C63" s="2">
        <f>SUM(C56:C62)</f>
        <v>850</v>
      </c>
      <c r="D63" s="2">
        <f>SUM(D56:D62)</f>
        <v>850</v>
      </c>
      <c r="E63" s="6"/>
      <c r="F63" s="7"/>
      <c r="H63" s="2">
        <f>SUM(H56:H62)</f>
        <v>463.65</v>
      </c>
      <c r="I63" s="2">
        <f>SUM(I56:I62)</f>
        <v>-386.35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227</v>
      </c>
      <c r="F64" s="7" t="s">
        <v>425</v>
      </c>
      <c r="H64" s="4">
        <v>-1</v>
      </c>
      <c r="I64" s="1">
        <f>H64-C64</f>
        <v>-1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227</v>
      </c>
      <c r="F65" s="7" t="s">
        <v>426</v>
      </c>
      <c r="H65" s="4">
        <v>-53</v>
      </c>
      <c r="I65" s="1">
        <f t="shared" ref="I65:I70" si="13">H65-C65</f>
        <v>-53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227</v>
      </c>
      <c r="F66" s="7" t="s">
        <v>427</v>
      </c>
      <c r="H66" s="4">
        <v>-15</v>
      </c>
      <c r="I66" s="1">
        <f t="shared" si="13"/>
        <v>-15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411</v>
      </c>
      <c r="F67" s="7" t="s">
        <v>428</v>
      </c>
      <c r="H67" s="4">
        <v>22</v>
      </c>
      <c r="I67" s="1">
        <f t="shared" si="13"/>
        <v>22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375</v>
      </c>
      <c r="F68" s="7" t="s">
        <v>429</v>
      </c>
      <c r="H68" s="4">
        <v>59</v>
      </c>
      <c r="I68" s="1">
        <f t="shared" si="13"/>
        <v>59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413</v>
      </c>
      <c r="F69" s="7" t="s">
        <v>430</v>
      </c>
      <c r="H69" s="4">
        <v>-22</v>
      </c>
      <c r="I69" s="1">
        <f t="shared" si="13"/>
        <v>-22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413</v>
      </c>
      <c r="F70" s="7" t="s">
        <v>431</v>
      </c>
      <c r="H70" s="4">
        <v>-20</v>
      </c>
      <c r="I70" s="1">
        <f t="shared" si="13"/>
        <v>-20</v>
      </c>
    </row>
    <row r="71" spans="1:9" x14ac:dyDescent="0.3">
      <c r="A71" s="41"/>
      <c r="B71" s="41" t="s">
        <v>29</v>
      </c>
      <c r="C71" s="2">
        <f>SUM(C64:C70)</f>
        <v>0</v>
      </c>
      <c r="D71" s="2">
        <f>SUM(D64:D70)</f>
        <v>0</v>
      </c>
      <c r="E71" s="6"/>
      <c r="F71" s="7"/>
      <c r="H71" s="2">
        <f>SUM(H64:H70)</f>
        <v>-30</v>
      </c>
      <c r="I71" s="2">
        <f>SUM(I64:I70)</f>
        <v>-30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413</v>
      </c>
      <c r="F72" s="7" t="s">
        <v>432</v>
      </c>
      <c r="H72" s="4">
        <v>32</v>
      </c>
      <c r="I72" s="1">
        <f>H72-C72</f>
        <v>32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375</v>
      </c>
      <c r="F73" s="7" t="s">
        <v>433</v>
      </c>
      <c r="H73" s="4">
        <v>-5</v>
      </c>
      <c r="I73" s="1">
        <f t="shared" ref="I73:I78" si="14">H73-C73</f>
        <v>-5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375</v>
      </c>
      <c r="F74" s="7" t="s">
        <v>430</v>
      </c>
      <c r="H74" s="4">
        <v>-22</v>
      </c>
      <c r="I74" s="1">
        <f t="shared" si="14"/>
        <v>-22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227</v>
      </c>
      <c r="F75" s="7" t="s">
        <v>434</v>
      </c>
      <c r="H75" s="4">
        <v>-14</v>
      </c>
      <c r="I75" s="1">
        <f t="shared" si="14"/>
        <v>-14</v>
      </c>
    </row>
    <row r="76" spans="1:9" x14ac:dyDescent="0.3">
      <c r="A76" s="41"/>
      <c r="B76" s="41" t="s">
        <v>51</v>
      </c>
      <c r="C76" s="4">
        <v>0</v>
      </c>
      <c r="D76" s="4">
        <v>1820</v>
      </c>
      <c r="E76" s="6" t="s">
        <v>227</v>
      </c>
      <c r="F76" s="7" t="s">
        <v>435</v>
      </c>
      <c r="H76" s="4">
        <v>7</v>
      </c>
      <c r="I76" s="1">
        <v>7</v>
      </c>
    </row>
    <row r="77" spans="1:9" x14ac:dyDescent="0.3">
      <c r="A77" s="41"/>
      <c r="B77" s="41" t="s">
        <v>52</v>
      </c>
      <c r="C77" s="4">
        <v>900</v>
      </c>
      <c r="D77" s="4">
        <v>0</v>
      </c>
      <c r="E77" s="6" t="s">
        <v>227</v>
      </c>
      <c r="F77" s="7" t="s">
        <v>436</v>
      </c>
      <c r="H77" s="4">
        <v>866</v>
      </c>
      <c r="I77" s="1">
        <f>H77-C77</f>
        <v>-34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227</v>
      </c>
      <c r="F78" s="7" t="s">
        <v>437</v>
      </c>
      <c r="H78" s="4">
        <v>-46</v>
      </c>
      <c r="I78" s="1">
        <f t="shared" si="14"/>
        <v>-46</v>
      </c>
    </row>
    <row r="79" spans="1:9" x14ac:dyDescent="0.3">
      <c r="A79" s="41"/>
      <c r="B79" s="41" t="s">
        <v>11</v>
      </c>
      <c r="C79" s="2">
        <f>SUM(C72:C78)</f>
        <v>900</v>
      </c>
      <c r="D79" s="2">
        <f>SUM(D72:D78)</f>
        <v>1820</v>
      </c>
      <c r="E79" s="6"/>
      <c r="F79" s="7"/>
      <c r="H79" s="2">
        <f t="shared" ref="H79:I79" si="15">SUM(H72:H78)</f>
        <v>818</v>
      </c>
      <c r="I79" s="2">
        <f t="shared" si="15"/>
        <v>-82</v>
      </c>
    </row>
    <row r="80" spans="1:9" x14ac:dyDescent="0.3">
      <c r="A80" s="41"/>
      <c r="B80" s="41" t="s">
        <v>12</v>
      </c>
      <c r="C80" s="3">
        <f>SUM(C79+C71+C63+C55)</f>
        <v>2625</v>
      </c>
      <c r="D80" s="3">
        <f>SUM(D79+D71+D63+D55)</f>
        <v>3545</v>
      </c>
      <c r="E80" s="6"/>
      <c r="F80" s="7"/>
      <c r="H80" s="3">
        <f t="shared" ref="H80:I80" si="16">SUM(H79+H71+H63+H55)</f>
        <v>2107.65</v>
      </c>
      <c r="I80" s="3">
        <f t="shared" si="16"/>
        <v>-517.35</v>
      </c>
    </row>
    <row r="81" spans="1:9" x14ac:dyDescent="0.3">
      <c r="A81" s="41"/>
      <c r="B81" s="41" t="s">
        <v>13</v>
      </c>
      <c r="C81" s="1">
        <f>D80+C80</f>
        <v>6170</v>
      </c>
      <c r="E81" s="6"/>
      <c r="F81" s="25"/>
      <c r="H81" s="1">
        <f t="shared" ref="H81:I81" si="17">I80+H80</f>
        <v>1590.3000000000002</v>
      </c>
      <c r="I81" s="1">
        <f t="shared" si="17"/>
        <v>-517.35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 t="s">
        <v>438</v>
      </c>
      <c r="D83" s="41"/>
      <c r="E83" s="43" t="s">
        <v>227</v>
      </c>
      <c r="F83" s="50" t="s">
        <v>439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3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419</v>
      </c>
      <c r="F92" s="7" t="s">
        <v>440</v>
      </c>
      <c r="H92" s="4">
        <v>-20</v>
      </c>
      <c r="I92" s="1">
        <f t="shared" ref="I92:I98" si="18">H92-C92</f>
        <v>-20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227</v>
      </c>
      <c r="F93" s="7" t="s">
        <v>441</v>
      </c>
      <c r="H93" s="4">
        <v>10</v>
      </c>
      <c r="I93" s="1">
        <f t="shared" si="18"/>
        <v>10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227</v>
      </c>
      <c r="F94" s="7" t="s">
        <v>442</v>
      </c>
      <c r="H94" s="4">
        <v>25.72</v>
      </c>
      <c r="I94" s="1">
        <f t="shared" si="18"/>
        <v>25.72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227</v>
      </c>
      <c r="F95" s="7" t="s">
        <v>443</v>
      </c>
      <c r="H95" s="4">
        <v>-15</v>
      </c>
      <c r="I95" s="1">
        <f t="shared" si="18"/>
        <v>-15</v>
      </c>
    </row>
    <row r="96" spans="1:9" x14ac:dyDescent="0.3">
      <c r="A96" s="41"/>
      <c r="B96" s="41" t="s">
        <v>64</v>
      </c>
      <c r="C96" s="4">
        <v>920</v>
      </c>
      <c r="D96" s="4">
        <v>0</v>
      </c>
      <c r="E96" s="6" t="s">
        <v>227</v>
      </c>
      <c r="F96" s="7" t="s">
        <v>444</v>
      </c>
      <c r="H96" s="4">
        <v>902</v>
      </c>
      <c r="I96" s="1">
        <f t="shared" si="18"/>
        <v>-18</v>
      </c>
    </row>
    <row r="97" spans="1:9" x14ac:dyDescent="0.3">
      <c r="A97" s="41"/>
      <c r="B97" s="41" t="s">
        <v>65</v>
      </c>
      <c r="C97" s="4">
        <v>0</v>
      </c>
      <c r="D97" s="4">
        <v>0</v>
      </c>
      <c r="E97" s="6" t="s">
        <v>227</v>
      </c>
      <c r="F97" s="7" t="s">
        <v>445</v>
      </c>
      <c r="H97" s="4">
        <v>-12</v>
      </c>
      <c r="I97" s="1">
        <f t="shared" si="18"/>
        <v>-12</v>
      </c>
    </row>
    <row r="98" spans="1:9" ht="15" thickBot="1" x14ac:dyDescent="0.35">
      <c r="A98" s="41"/>
      <c r="B98" s="41" t="s">
        <v>66</v>
      </c>
      <c r="C98" s="4">
        <v>0</v>
      </c>
      <c r="D98" s="4">
        <v>0</v>
      </c>
      <c r="E98" s="6" t="s">
        <v>227</v>
      </c>
      <c r="F98" s="7" t="s">
        <v>430</v>
      </c>
      <c r="H98" s="4">
        <v>-22</v>
      </c>
      <c r="I98" s="1">
        <f t="shared" si="18"/>
        <v>-22</v>
      </c>
    </row>
    <row r="99" spans="1:9" x14ac:dyDescent="0.3">
      <c r="A99" s="41"/>
      <c r="B99" s="41" t="s">
        <v>29</v>
      </c>
      <c r="C99" s="2">
        <f>SUM(C92:C98)</f>
        <v>920</v>
      </c>
      <c r="D99" s="2">
        <f>SUM(D92:D98)</f>
        <v>0</v>
      </c>
      <c r="E99" s="6"/>
      <c r="F99" s="7"/>
      <c r="H99" s="2">
        <f>SUM(H92:H98)</f>
        <v>868.72</v>
      </c>
      <c r="I99" s="2">
        <f>SUM(I92:I98)</f>
        <v>-51.28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" t="s">
        <v>227</v>
      </c>
      <c r="F100" s="7" t="s">
        <v>446</v>
      </c>
      <c r="H100" s="4">
        <v>8</v>
      </c>
      <c r="I100" s="1">
        <f>H100-C100</f>
        <v>8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19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19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19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9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9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9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8</v>
      </c>
      <c r="I107" s="2">
        <f>SUM(I100:I106)</f>
        <v>8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0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0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0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0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0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0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1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1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1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1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1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21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2">SUM(H116:H122)</f>
        <v>0</v>
      </c>
      <c r="I123" s="2">
        <f t="shared" si="22"/>
        <v>0</v>
      </c>
    </row>
    <row r="124" spans="1:9" x14ac:dyDescent="0.3">
      <c r="A124" s="41"/>
      <c r="B124" s="41" t="s">
        <v>12</v>
      </c>
      <c r="C124" s="3">
        <f>SUM(C123+C115+C107+C99)</f>
        <v>920</v>
      </c>
      <c r="D124" s="3">
        <f>SUM(D123+D115+D107+D99)</f>
        <v>0</v>
      </c>
      <c r="E124" s="6"/>
      <c r="F124" s="7"/>
      <c r="H124" s="3">
        <f t="shared" ref="H124:I124" si="23">SUM(H123+H115+H107+H99)</f>
        <v>876.72</v>
      </c>
      <c r="I124" s="3">
        <f t="shared" si="23"/>
        <v>-43.28</v>
      </c>
    </row>
    <row r="125" spans="1:9" x14ac:dyDescent="0.3">
      <c r="A125" s="41"/>
      <c r="B125" s="41" t="s">
        <v>13</v>
      </c>
      <c r="C125" s="1">
        <f>D124+C124</f>
        <v>920</v>
      </c>
      <c r="E125" s="24"/>
      <c r="F125" s="25"/>
      <c r="H125" s="1">
        <f t="shared" ref="H125:I125" si="24">I124+H124</f>
        <v>833.44</v>
      </c>
      <c r="I125" s="1">
        <f t="shared" si="24"/>
        <v>-43.28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5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5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5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5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5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5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6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6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6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6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6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6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7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7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7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7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7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7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8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8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8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8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8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8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9">SUM(H160:H166)</f>
        <v>0</v>
      </c>
      <c r="I167" s="2">
        <f t="shared" si="29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0">SUM(H167+H159+H151+H143)</f>
        <v>0</v>
      </c>
      <c r="I168" s="3">
        <f t="shared" si="30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1">I168+H168</f>
        <v>0</v>
      </c>
      <c r="I169" s="1">
        <f t="shared" si="31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2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2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2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2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2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2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3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3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3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3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3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3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4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4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4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4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4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4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5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5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5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5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5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5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6">SUM(H204:H210)</f>
        <v>0</v>
      </c>
      <c r="I211" s="2">
        <f t="shared" si="36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7">SUM(H211+H203+H195+H187)</f>
        <v>0</v>
      </c>
      <c r="I212" s="3">
        <f t="shared" si="37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8">I212+H212</f>
        <v>0</v>
      </c>
      <c r="I213" s="1">
        <f t="shared" si="38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BD408-0009-4B9A-A681-28E7E5640B38}">
  <sheetPr codeName="Sheet17"/>
  <dimension ref="A1:I222"/>
  <sheetViews>
    <sheetView showGridLines="0" workbookViewId="0">
      <pane xSplit="2" ySplit="3" topLeftCell="C89" activePane="bottomRight" state="frozen"/>
      <selection pane="topRight" activeCell="C23" sqref="C23"/>
      <selection pane="bottomLeft" activeCell="C23" sqref="C23"/>
      <selection pane="bottomRight" activeCell="F96" sqref="F96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  <col min="8" max="8" width="8.88671875" bestFit="1" customWidth="1"/>
  </cols>
  <sheetData>
    <row r="1" spans="2:9" ht="18.75" customHeight="1" x14ac:dyDescent="0.3">
      <c r="B1" s="15"/>
      <c r="C1" s="14" t="s">
        <v>447</v>
      </c>
      <c r="D1" s="14"/>
    </row>
    <row r="2" spans="2:9" x14ac:dyDescent="0.3">
      <c r="C2" s="5" t="s">
        <v>1</v>
      </c>
      <c r="D2" s="5"/>
    </row>
    <row r="3" spans="2:9" ht="86.4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1225</v>
      </c>
      <c r="D6" s="4">
        <v>1270</v>
      </c>
      <c r="E6" s="6"/>
      <c r="F6" s="7"/>
      <c r="H6" s="4"/>
      <c r="I6" s="1">
        <f t="shared" si="0"/>
        <v>-1225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/>
      <c r="I7" s="1">
        <f t="shared" si="0"/>
        <v>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/>
      <c r="I9" s="1">
        <f t="shared" si="0"/>
        <v>0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/>
      <c r="I10" s="1">
        <f t="shared" si="0"/>
        <v>0</v>
      </c>
    </row>
    <row r="11" spans="2:9" x14ac:dyDescent="0.3">
      <c r="B11" s="21" t="s">
        <v>11</v>
      </c>
      <c r="C11" s="2">
        <f>SUM(C4:C10)</f>
        <v>1225</v>
      </c>
      <c r="D11" s="2">
        <f>SUM(D4:D10)</f>
        <v>1270</v>
      </c>
      <c r="E11" s="6"/>
      <c r="F11" s="7"/>
      <c r="H11" s="2">
        <f>SUM(H4:H10)</f>
        <v>0</v>
      </c>
      <c r="I11" s="2">
        <f>SUM(I4:I10)</f>
        <v>-1225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1270</v>
      </c>
      <c r="D14" s="4">
        <v>1100</v>
      </c>
      <c r="E14" s="6" t="s">
        <v>448</v>
      </c>
      <c r="F14" s="7"/>
      <c r="H14" s="4"/>
      <c r="I14" s="1">
        <f t="shared" si="2"/>
        <v>-1270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/>
      <c r="I16" s="1">
        <f t="shared" si="2"/>
        <v>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1270</v>
      </c>
      <c r="D19" s="2">
        <f>SUM(D12:D18)</f>
        <v>1100</v>
      </c>
      <c r="E19" s="6"/>
      <c r="F19" s="7"/>
      <c r="H19" s="2">
        <f>SUM(H12:H18)</f>
        <v>0</v>
      </c>
      <c r="I19" s="2">
        <f>SUM(I12:I18)</f>
        <v>-1270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/>
      <c r="I21" s="1">
        <f t="shared" ref="I21:I26" si="4">H21-C21</f>
        <v>0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/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/>
      <c r="F23" s="7"/>
      <c r="H23" s="4">
        <v>0</v>
      </c>
      <c r="I23" s="1">
        <f t="shared" si="4"/>
        <v>0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/>
      <c r="I24" s="1">
        <f t="shared" si="4"/>
        <v>0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/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/>
      <c r="I26" s="1">
        <f t="shared" si="4"/>
        <v>0</v>
      </c>
    </row>
    <row r="27" spans="2:9" x14ac:dyDescent="0.3">
      <c r="B27" s="21" t="s">
        <v>11</v>
      </c>
      <c r="C27" s="2">
        <f>SUM(C20:C26)</f>
        <v>0</v>
      </c>
      <c r="D27" s="2">
        <f>SUM(D20:D26)</f>
        <v>0</v>
      </c>
      <c r="E27" s="6"/>
      <c r="F27" s="7"/>
      <c r="H27" s="2">
        <f>SUM(H20:H26)</f>
        <v>0</v>
      </c>
      <c r="I27" s="2">
        <f>SUM(I20:I26)</f>
        <v>0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/>
      <c r="I28" s="1">
        <f>H28-C28</f>
        <v>0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/>
      <c r="I29" s="1">
        <f t="shared" ref="I29:I34" si="6">H29-C29</f>
        <v>0</v>
      </c>
    </row>
    <row r="30" spans="2:9" x14ac:dyDescent="0.3">
      <c r="B30" s="20">
        <f t="shared" ref="B30:B34" si="7">B29+1</f>
        <v>46266</v>
      </c>
      <c r="C30" s="4">
        <v>0</v>
      </c>
      <c r="D30" s="4">
        <v>1150</v>
      </c>
      <c r="E30" s="6" t="s">
        <v>449</v>
      </c>
      <c r="F30" s="7"/>
      <c r="H30" s="4"/>
      <c r="I30" s="1">
        <f t="shared" si="6"/>
        <v>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/>
      <c r="I31" s="1">
        <f t="shared" si="6"/>
        <v>0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/>
      <c r="I32" s="1">
        <f t="shared" si="6"/>
        <v>0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/>
      <c r="I33" s="1">
        <f t="shared" si="6"/>
        <v>0</v>
      </c>
    </row>
    <row r="34" spans="1:9" ht="15" thickBot="1" x14ac:dyDescent="0.35">
      <c r="B34" s="20">
        <f t="shared" si="7"/>
        <v>46270</v>
      </c>
      <c r="C34" s="4">
        <v>1100</v>
      </c>
      <c r="D34" s="4">
        <v>0</v>
      </c>
      <c r="E34" s="6" t="s">
        <v>448</v>
      </c>
      <c r="F34" s="7"/>
      <c r="H34" s="4"/>
      <c r="I34" s="1">
        <f t="shared" si="6"/>
        <v>-1100</v>
      </c>
    </row>
    <row r="35" spans="1:9" x14ac:dyDescent="0.3">
      <c r="B35" s="19" t="s">
        <v>11</v>
      </c>
      <c r="C35" s="2">
        <f>SUM(C28:C34)</f>
        <v>1100</v>
      </c>
      <c r="D35" s="2">
        <f>SUM(D28:D34)</f>
        <v>1150</v>
      </c>
      <c r="E35" s="6"/>
      <c r="F35" s="7"/>
      <c r="H35" s="2">
        <f t="shared" ref="H35:I35" si="8">SUM(H28:H34)</f>
        <v>0</v>
      </c>
      <c r="I35" s="2">
        <f t="shared" si="8"/>
        <v>-1100</v>
      </c>
    </row>
    <row r="36" spans="1:9" x14ac:dyDescent="0.3">
      <c r="B36" s="19" t="s">
        <v>12</v>
      </c>
      <c r="C36" s="3">
        <f>SUM(C35+C27+C19+C11)</f>
        <v>3595</v>
      </c>
      <c r="D36" s="3">
        <f>SUM(D35+D27+D19+D11)</f>
        <v>3520</v>
      </c>
      <c r="E36" s="6"/>
      <c r="F36" s="7"/>
      <c r="H36" s="3">
        <f t="shared" ref="H36:I36" si="9">SUM(H35+H27+H19+H11)</f>
        <v>0</v>
      </c>
      <c r="I36" s="3">
        <f t="shared" si="9"/>
        <v>-3595</v>
      </c>
    </row>
    <row r="37" spans="1:9" ht="15" thickBot="1" x14ac:dyDescent="0.35">
      <c r="B37" s="19" t="s">
        <v>13</v>
      </c>
      <c r="C37" s="1">
        <f>D36+C36</f>
        <v>7115</v>
      </c>
      <c r="E37" s="24"/>
      <c r="F37" s="25"/>
      <c r="H37" s="1">
        <f t="shared" ref="H37:I37" si="10">I36+H36</f>
        <v>-3595</v>
      </c>
      <c r="I37" s="1">
        <f t="shared" si="10"/>
        <v>-3595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1150</v>
      </c>
      <c r="E39" s="6" t="s">
        <v>448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 t="s">
        <v>449</v>
      </c>
      <c r="F48" s="7"/>
      <c r="H48" s="4">
        <v>21</v>
      </c>
      <c r="I48" s="1">
        <f>H48-C48</f>
        <v>21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449</v>
      </c>
      <c r="F49" s="7" t="s">
        <v>450</v>
      </c>
      <c r="H49" s="4">
        <v>13</v>
      </c>
      <c r="I49" s="1">
        <f t="shared" ref="I49:I54" si="11">H49-C49</f>
        <v>13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449</v>
      </c>
      <c r="F50" s="7"/>
      <c r="H50" s="4">
        <v>12</v>
      </c>
      <c r="I50" s="1">
        <f t="shared" si="11"/>
        <v>12</v>
      </c>
    </row>
    <row r="51" spans="1:9" x14ac:dyDescent="0.3">
      <c r="A51" s="41"/>
      <c r="B51" s="41" t="s">
        <v>24</v>
      </c>
      <c r="C51" s="4">
        <v>0</v>
      </c>
      <c r="D51" s="4">
        <v>1220</v>
      </c>
      <c r="E51" s="6" t="s">
        <v>449</v>
      </c>
      <c r="F51" s="7"/>
      <c r="H51" s="4">
        <v>10</v>
      </c>
      <c r="I51" s="1">
        <f t="shared" si="11"/>
        <v>10</v>
      </c>
    </row>
    <row r="52" spans="1:9" x14ac:dyDescent="0.3">
      <c r="A52" s="41"/>
      <c r="B52" s="41" t="s">
        <v>25</v>
      </c>
      <c r="C52" s="4">
        <v>1150</v>
      </c>
      <c r="D52" s="4">
        <v>0</v>
      </c>
      <c r="E52" s="6" t="s">
        <v>448</v>
      </c>
      <c r="F52" s="7" t="s">
        <v>451</v>
      </c>
      <c r="H52" s="4">
        <v>1152</v>
      </c>
      <c r="I52" s="1">
        <f t="shared" si="11"/>
        <v>2</v>
      </c>
    </row>
    <row r="53" spans="1:9" x14ac:dyDescent="0.3">
      <c r="A53" s="41"/>
      <c r="B53" s="41" t="s">
        <v>26</v>
      </c>
      <c r="C53" s="4"/>
      <c r="D53" s="4">
        <v>0</v>
      </c>
      <c r="E53" s="6" t="s">
        <v>448</v>
      </c>
      <c r="F53" s="7"/>
      <c r="H53" s="4">
        <v>23</v>
      </c>
      <c r="I53" s="1">
        <f t="shared" si="11"/>
        <v>23</v>
      </c>
    </row>
    <row r="54" spans="1:9" x14ac:dyDescent="0.3">
      <c r="A54" s="41"/>
      <c r="B54" s="41" t="s">
        <v>27</v>
      </c>
      <c r="C54" s="4">
        <v>0</v>
      </c>
      <c r="D54" s="4">
        <v>0</v>
      </c>
      <c r="E54" s="6" t="s">
        <v>449</v>
      </c>
      <c r="F54" s="7"/>
      <c r="H54" s="4">
        <v>22</v>
      </c>
      <c r="I54" s="1">
        <f t="shared" si="11"/>
        <v>22</v>
      </c>
    </row>
    <row r="55" spans="1:9" x14ac:dyDescent="0.3">
      <c r="A55" s="41"/>
      <c r="B55" s="41" t="s">
        <v>29</v>
      </c>
      <c r="C55" s="2">
        <f>SUM(C48:C54)</f>
        <v>1150</v>
      </c>
      <c r="D55" s="2">
        <f>SUM(D48:D54)</f>
        <v>1220</v>
      </c>
      <c r="E55" s="6"/>
      <c r="F55" s="7"/>
      <c r="H55" s="2">
        <f>SUM(H48:H54)</f>
        <v>1253</v>
      </c>
      <c r="I55" s="2">
        <f>SUM(I48:I54)</f>
        <v>103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449</v>
      </c>
      <c r="F56" s="7"/>
      <c r="H56" s="4">
        <v>2</v>
      </c>
      <c r="I56" s="1">
        <f>H56-C56</f>
        <v>2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449</v>
      </c>
      <c r="F57" s="7"/>
      <c r="H57" s="4">
        <v>3</v>
      </c>
      <c r="I57" s="1">
        <f t="shared" ref="I57:I62" si="12">H57-C57</f>
        <v>3</v>
      </c>
    </row>
    <row r="58" spans="1:9" x14ac:dyDescent="0.3">
      <c r="A58" s="41"/>
      <c r="B58" s="41" t="s">
        <v>32</v>
      </c>
      <c r="C58" s="4">
        <v>0</v>
      </c>
      <c r="D58" s="4">
        <v>1200</v>
      </c>
      <c r="E58" s="6" t="s">
        <v>449</v>
      </c>
      <c r="F58" s="7"/>
      <c r="H58" s="4">
        <v>7</v>
      </c>
      <c r="I58" s="1">
        <f t="shared" si="12"/>
        <v>7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449</v>
      </c>
      <c r="F59" s="7"/>
      <c r="H59" s="4">
        <v>7</v>
      </c>
      <c r="I59" s="1">
        <f t="shared" si="12"/>
        <v>7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449</v>
      </c>
      <c r="F60" s="7"/>
      <c r="H60" s="4">
        <v>-0.32</v>
      </c>
      <c r="I60" s="1">
        <f t="shared" si="12"/>
        <v>-0.32</v>
      </c>
    </row>
    <row r="61" spans="1:9" x14ac:dyDescent="0.3">
      <c r="A61" s="41"/>
      <c r="B61" s="41" t="s">
        <v>36</v>
      </c>
      <c r="C61" s="4">
        <v>1220</v>
      </c>
      <c r="D61" s="4">
        <v>0</v>
      </c>
      <c r="E61" s="6" t="s">
        <v>449</v>
      </c>
      <c r="F61" s="7"/>
      <c r="H61" s="4">
        <v>1222</v>
      </c>
      <c r="I61" s="1">
        <f t="shared" si="12"/>
        <v>2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449</v>
      </c>
      <c r="F62" s="7"/>
      <c r="H62" s="4">
        <v>-2</v>
      </c>
      <c r="I62" s="1">
        <f t="shared" si="12"/>
        <v>-2</v>
      </c>
    </row>
    <row r="63" spans="1:9" x14ac:dyDescent="0.3">
      <c r="A63" s="41"/>
      <c r="B63" s="41" t="s">
        <v>29</v>
      </c>
      <c r="C63" s="2">
        <f>SUM(C56:C62)</f>
        <v>1220</v>
      </c>
      <c r="D63" s="2">
        <f>SUM(D56:D62)</f>
        <v>1200</v>
      </c>
      <c r="E63" s="6"/>
      <c r="F63" s="7"/>
      <c r="H63" s="2">
        <f>SUM(H56:H62)</f>
        <v>1238.68</v>
      </c>
      <c r="I63" s="2">
        <f>SUM(I56:I62)</f>
        <v>18.68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452</v>
      </c>
      <c r="F64" s="7"/>
      <c r="H64" s="4">
        <v>2</v>
      </c>
      <c r="I64" s="1">
        <f t="shared" ref="I64:I70" si="13">H64-C64</f>
        <v>2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449</v>
      </c>
      <c r="F65" s="7"/>
      <c r="H65" s="4">
        <v>6</v>
      </c>
      <c r="I65" s="1">
        <f t="shared" si="13"/>
        <v>6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449</v>
      </c>
      <c r="F66" s="7"/>
      <c r="H66" s="4">
        <v>-19</v>
      </c>
      <c r="I66" s="1">
        <f t="shared" si="13"/>
        <v>-19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448</v>
      </c>
      <c r="F67" s="7"/>
      <c r="H67" s="4">
        <v>10</v>
      </c>
      <c r="I67" s="1">
        <v>10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448</v>
      </c>
      <c r="F68" s="7"/>
      <c r="H68" s="4">
        <v>-38</v>
      </c>
      <c r="I68" s="1">
        <f t="shared" si="13"/>
        <v>-38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453</v>
      </c>
      <c r="F69" s="7"/>
      <c r="H69" s="4">
        <v>19</v>
      </c>
      <c r="I69" s="1">
        <f t="shared" si="13"/>
        <v>19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453</v>
      </c>
      <c r="F70" s="7"/>
      <c r="H70" s="4">
        <v>13</v>
      </c>
      <c r="I70" s="1">
        <f t="shared" si="13"/>
        <v>13</v>
      </c>
    </row>
    <row r="71" spans="1:9" x14ac:dyDescent="0.3">
      <c r="A71" s="41"/>
      <c r="B71" s="41" t="s">
        <v>29</v>
      </c>
      <c r="C71" s="2">
        <f>SUM(C64:C70)</f>
        <v>0</v>
      </c>
      <c r="D71" s="2">
        <f>SUM(D64:D70)</f>
        <v>0</v>
      </c>
      <c r="E71" s="6"/>
      <c r="F71" s="7"/>
      <c r="H71" s="2"/>
      <c r="I71" s="2">
        <f>SUM(I64:I70)</f>
        <v>-7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453</v>
      </c>
      <c r="F72" s="7"/>
      <c r="H72" s="4">
        <v>3</v>
      </c>
      <c r="I72" s="1">
        <f>H72-C72</f>
        <v>3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449</v>
      </c>
      <c r="F73" s="7"/>
      <c r="H73" s="4">
        <v>5</v>
      </c>
      <c r="I73" s="1">
        <f t="shared" ref="I73:I78" si="14">H73-C73</f>
        <v>5</v>
      </c>
    </row>
    <row r="74" spans="1:9" x14ac:dyDescent="0.3">
      <c r="A74" s="41"/>
      <c r="B74" s="41" t="s">
        <v>48</v>
      </c>
      <c r="C74" s="4">
        <v>1200</v>
      </c>
      <c r="D74" s="4">
        <v>1220</v>
      </c>
      <c r="E74" s="6" t="s">
        <v>449</v>
      </c>
      <c r="F74" s="7"/>
      <c r="H74" s="4">
        <v>1196</v>
      </c>
      <c r="I74" s="1">
        <f t="shared" si="14"/>
        <v>-4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449</v>
      </c>
      <c r="F75" s="7"/>
      <c r="H75" s="4">
        <v>-7</v>
      </c>
      <c r="I75" s="1">
        <f t="shared" si="14"/>
        <v>-7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448</v>
      </c>
      <c r="F76" s="7"/>
      <c r="H76" s="4">
        <v>-22</v>
      </c>
      <c r="I76" s="1">
        <f t="shared" si="14"/>
        <v>-22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448</v>
      </c>
      <c r="F77" s="7"/>
      <c r="H77" s="4">
        <v>-5</v>
      </c>
      <c r="I77" s="1">
        <f t="shared" si="14"/>
        <v>-5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448</v>
      </c>
      <c r="F78" s="7"/>
      <c r="H78" s="4">
        <v>-29</v>
      </c>
      <c r="I78" s="1">
        <f t="shared" si="14"/>
        <v>-29</v>
      </c>
    </row>
    <row r="79" spans="1:9" x14ac:dyDescent="0.3">
      <c r="A79" s="41"/>
      <c r="B79" s="41" t="s">
        <v>11</v>
      </c>
      <c r="C79" s="2">
        <f>SUM(C72:C78)</f>
        <v>1200</v>
      </c>
      <c r="D79" s="2">
        <f>SUM(D72:D78)</f>
        <v>1220</v>
      </c>
      <c r="E79" s="6"/>
      <c r="F79" s="7"/>
      <c r="H79" s="2">
        <f t="shared" ref="H79:I79" si="15">SUM(H72:H78)</f>
        <v>1141</v>
      </c>
      <c r="I79" s="2">
        <f t="shared" si="15"/>
        <v>-59</v>
      </c>
    </row>
    <row r="80" spans="1:9" x14ac:dyDescent="0.3">
      <c r="A80" s="41"/>
      <c r="B80" s="41" t="s">
        <v>12</v>
      </c>
      <c r="C80" s="3">
        <f>SUM(C79+C71+C63+C55)</f>
        <v>3570</v>
      </c>
      <c r="D80" s="3">
        <f>SUM(D79+D71+D63+D55)</f>
        <v>3640</v>
      </c>
      <c r="E80" s="6"/>
      <c r="F80" s="7"/>
      <c r="H80" s="3">
        <f t="shared" ref="H80:I80" si="16">SUM(H79+H71+H63+H55)</f>
        <v>3632.6800000000003</v>
      </c>
      <c r="I80" s="3">
        <f t="shared" si="16"/>
        <v>55.68</v>
      </c>
    </row>
    <row r="81" spans="1:9" x14ac:dyDescent="0.3">
      <c r="A81" s="41"/>
      <c r="B81" s="41" t="s">
        <v>13</v>
      </c>
      <c r="C81" s="1">
        <f>D80+C80</f>
        <v>7210</v>
      </c>
      <c r="E81" s="24"/>
      <c r="F81" s="25"/>
      <c r="H81" s="1">
        <f t="shared" ref="H81:I81" si="17">I80+H80</f>
        <v>3688.36</v>
      </c>
      <c r="I81" s="1">
        <f t="shared" si="17"/>
        <v>55.68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1220</v>
      </c>
      <c r="D83" s="41"/>
      <c r="E83" s="43" t="s">
        <v>448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453</v>
      </c>
      <c r="F92" s="7" t="s">
        <v>454</v>
      </c>
      <c r="H92" s="4">
        <v>16</v>
      </c>
      <c r="I92" s="1">
        <f>H92-C92</f>
        <v>16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453</v>
      </c>
      <c r="F93" s="7" t="s">
        <v>455</v>
      </c>
      <c r="H93" s="4">
        <v>27</v>
      </c>
      <c r="I93" s="1">
        <f t="shared" ref="I93:I98" si="18">H93-C93</f>
        <v>27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449</v>
      </c>
      <c r="F94" s="7"/>
      <c r="H94" s="4">
        <v>-3</v>
      </c>
      <c r="I94" s="1">
        <f t="shared" si="18"/>
        <v>-3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449</v>
      </c>
      <c r="F95" s="7"/>
      <c r="H95" s="4">
        <v>50</v>
      </c>
      <c r="I95" s="1">
        <f t="shared" si="18"/>
        <v>50</v>
      </c>
    </row>
    <row r="96" spans="1:9" x14ac:dyDescent="0.3">
      <c r="A96" s="41"/>
      <c r="B96" s="41" t="s">
        <v>64</v>
      </c>
      <c r="C96" s="4">
        <v>1220</v>
      </c>
      <c r="D96" s="4">
        <v>1200</v>
      </c>
      <c r="E96" s="6" t="s">
        <v>448</v>
      </c>
      <c r="F96" s="7" t="s">
        <v>456</v>
      </c>
      <c r="H96" s="4">
        <v>1176</v>
      </c>
      <c r="I96" s="1">
        <f t="shared" si="18"/>
        <v>-44</v>
      </c>
    </row>
    <row r="97" spans="1:9" x14ac:dyDescent="0.3">
      <c r="A97" s="41"/>
      <c r="B97" s="41" t="s">
        <v>65</v>
      </c>
      <c r="C97" s="4">
        <v>0</v>
      </c>
      <c r="D97" s="4">
        <v>0</v>
      </c>
      <c r="E97" s="6" t="s">
        <v>449</v>
      </c>
      <c r="F97" s="7"/>
      <c r="H97" s="4">
        <v>4</v>
      </c>
      <c r="I97" s="1">
        <f t="shared" si="18"/>
        <v>4</v>
      </c>
    </row>
    <row r="98" spans="1:9" x14ac:dyDescent="0.3">
      <c r="A98" s="41"/>
      <c r="B98" s="41" t="s">
        <v>66</v>
      </c>
      <c r="C98" s="4">
        <v>0</v>
      </c>
      <c r="D98" s="4">
        <v>0</v>
      </c>
      <c r="E98" s="6" t="s">
        <v>449</v>
      </c>
      <c r="F98" s="7"/>
      <c r="H98" s="4">
        <v>26</v>
      </c>
      <c r="I98" s="1">
        <f t="shared" si="18"/>
        <v>26</v>
      </c>
    </row>
    <row r="99" spans="1:9" x14ac:dyDescent="0.3">
      <c r="A99" s="41"/>
      <c r="B99" s="41" t="s">
        <v>29</v>
      </c>
      <c r="C99" s="2">
        <f>SUM(C92:C98)</f>
        <v>1220</v>
      </c>
      <c r="D99" s="2">
        <f>SUM(D92:D98)</f>
        <v>1200</v>
      </c>
      <c r="E99" s="6"/>
      <c r="F99" s="7"/>
      <c r="H99" s="2">
        <f>SUM(H92:H98)</f>
        <v>1296</v>
      </c>
      <c r="I99" s="2">
        <f>SUM(I92:I98)</f>
        <v>76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"/>
      <c r="F100" s="7"/>
      <c r="H100" s="4">
        <v>0</v>
      </c>
      <c r="I100" s="1">
        <f>H100-C100</f>
        <v>0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19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19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19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9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9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9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0</v>
      </c>
      <c r="I107" s="2">
        <f>SUM(I100:I106)</f>
        <v>0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0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0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0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0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0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0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1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1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1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1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1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21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2">SUM(H116:H122)</f>
        <v>0</v>
      </c>
      <c r="I123" s="2">
        <f t="shared" si="22"/>
        <v>0</v>
      </c>
    </row>
    <row r="124" spans="1:9" x14ac:dyDescent="0.3">
      <c r="A124" s="41"/>
      <c r="B124" s="41" t="s">
        <v>12</v>
      </c>
      <c r="C124" s="3">
        <f>SUM(C123+C115+C107+C99)</f>
        <v>1220</v>
      </c>
      <c r="D124" s="3">
        <f>SUM(D123+D115+D107+D99)</f>
        <v>1200</v>
      </c>
      <c r="E124" s="6"/>
      <c r="F124" s="7"/>
      <c r="H124" s="3">
        <f t="shared" ref="H124:I124" si="23">SUM(H123+H115+H107+H99)</f>
        <v>1296</v>
      </c>
      <c r="I124" s="3">
        <f t="shared" si="23"/>
        <v>76</v>
      </c>
    </row>
    <row r="125" spans="1:9" x14ac:dyDescent="0.3">
      <c r="A125" s="41"/>
      <c r="B125" s="41" t="s">
        <v>13</v>
      </c>
      <c r="C125" s="1">
        <f>D124+C124</f>
        <v>2420</v>
      </c>
      <c r="E125" s="24"/>
      <c r="F125" s="25"/>
      <c r="H125" s="1">
        <f t="shared" ref="H125:I125" si="24">I124+H124</f>
        <v>1372</v>
      </c>
      <c r="I125" s="1">
        <f t="shared" si="24"/>
        <v>76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5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5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5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5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5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5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6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6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6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6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6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6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7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7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7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7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7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7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8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8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8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8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8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8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9">SUM(H160:H166)</f>
        <v>0</v>
      </c>
      <c r="I167" s="2">
        <f t="shared" si="29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0">SUM(H167+H159+H151+H143)</f>
        <v>0</v>
      </c>
      <c r="I168" s="3">
        <f t="shared" si="30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1">I168+H168</f>
        <v>0</v>
      </c>
      <c r="I169" s="1">
        <f t="shared" si="31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2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2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2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2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2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2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3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3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3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3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3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3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4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4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4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4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4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4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5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5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5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5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5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5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6">SUM(H204:H210)</f>
        <v>0</v>
      </c>
      <c r="I211" s="2">
        <f t="shared" si="36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7">SUM(H211+H203+H195+H187)</f>
        <v>0</v>
      </c>
      <c r="I212" s="3">
        <f t="shared" si="37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8">I212+H212</f>
        <v>0</v>
      </c>
      <c r="I213" s="1">
        <f t="shared" si="38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B1B43-AB2A-4C06-B750-4DB148EFBABB}">
  <sheetPr codeName="Sheet18"/>
  <dimension ref="A1:I222"/>
  <sheetViews>
    <sheetView showGridLines="0" workbookViewId="0">
      <pane xSplit="2" ySplit="3" topLeftCell="C85" activePane="bottomRight" state="frozen"/>
      <selection pane="topRight" activeCell="C23" sqref="C23"/>
      <selection pane="bottomLeft" activeCell="C23" sqref="C23"/>
      <selection pane="bottomRight" activeCell="F50" sqref="F50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457</v>
      </c>
      <c r="D1" s="14"/>
    </row>
    <row r="2" spans="2:9" x14ac:dyDescent="0.3">
      <c r="C2" s="5" t="s">
        <v>1</v>
      </c>
      <c r="D2" s="5"/>
    </row>
    <row r="3" spans="2:9" ht="86.4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499</v>
      </c>
      <c r="E4" s="6"/>
      <c r="F4" s="7" t="s">
        <v>458</v>
      </c>
      <c r="H4" s="4">
        <v>273</v>
      </c>
      <c r="I4" s="1">
        <f>H4-C4</f>
        <v>273</v>
      </c>
    </row>
    <row r="5" spans="2:9" x14ac:dyDescent="0.3">
      <c r="B5" s="20">
        <f>B4+1</f>
        <v>46244</v>
      </c>
      <c r="C5" s="4">
        <v>251</v>
      </c>
      <c r="D5" s="4">
        <v>0</v>
      </c>
      <c r="E5" s="6"/>
      <c r="F5" s="7"/>
      <c r="H5" s="4">
        <v>201</v>
      </c>
      <c r="I5" s="1">
        <f t="shared" ref="I5:I10" si="0">H5-C5</f>
        <v>-50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>
        <v>537</v>
      </c>
      <c r="I6" s="1">
        <f t="shared" si="0"/>
        <v>537</v>
      </c>
    </row>
    <row r="7" spans="2:9" x14ac:dyDescent="0.3">
      <c r="B7" s="20">
        <f t="shared" si="1"/>
        <v>46246</v>
      </c>
      <c r="C7" s="4">
        <v>245</v>
      </c>
      <c r="D7" s="4">
        <v>905</v>
      </c>
      <c r="E7" s="6"/>
      <c r="F7" s="7"/>
      <c r="H7" s="4">
        <v>-871</v>
      </c>
      <c r="I7" s="1">
        <f>H7-C7</f>
        <v>-1116</v>
      </c>
    </row>
    <row r="8" spans="2:9" x14ac:dyDescent="0.3">
      <c r="B8" s="20">
        <f t="shared" si="1"/>
        <v>46247</v>
      </c>
      <c r="C8" s="4">
        <v>300</v>
      </c>
      <c r="D8" s="4">
        <v>0</v>
      </c>
      <c r="E8" s="6"/>
      <c r="F8" s="7"/>
      <c r="H8" s="4">
        <v>552</v>
      </c>
      <c r="I8" s="1">
        <f t="shared" si="0"/>
        <v>252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>
        <v>18</v>
      </c>
      <c r="I9" s="1">
        <f t="shared" si="0"/>
        <v>18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>
        <v>22</v>
      </c>
      <c r="I10" s="1">
        <f t="shared" si="0"/>
        <v>22</v>
      </c>
    </row>
    <row r="11" spans="2:9" x14ac:dyDescent="0.3">
      <c r="B11" s="21" t="s">
        <v>11</v>
      </c>
      <c r="C11" s="2">
        <f>SUM(C4:C10)</f>
        <v>796</v>
      </c>
      <c r="D11" s="2">
        <f>SUM(D4:D10)</f>
        <v>1404</v>
      </c>
      <c r="E11" s="6"/>
      <c r="F11" s="7"/>
      <c r="H11" s="2">
        <f>SUM(H4:H10)</f>
        <v>732</v>
      </c>
      <c r="I11" s="2">
        <f>SUM(I4:I10)</f>
        <v>-64</v>
      </c>
    </row>
    <row r="12" spans="2:9" x14ac:dyDescent="0.3">
      <c r="B12" s="20">
        <f>B10+1</f>
        <v>46250</v>
      </c>
      <c r="C12" s="4">
        <v>300</v>
      </c>
      <c r="D12" s="4">
        <v>0</v>
      </c>
      <c r="E12" s="6"/>
      <c r="F12" s="7"/>
      <c r="H12" s="4">
        <v>569</v>
      </c>
      <c r="I12" s="1">
        <f>H12-C12</f>
        <v>269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>
        <v>24</v>
      </c>
      <c r="I13" s="1">
        <f t="shared" ref="I13:I18" si="2">H13-C13</f>
        <v>24</v>
      </c>
    </row>
    <row r="14" spans="2:9" x14ac:dyDescent="0.3">
      <c r="B14" s="20">
        <f t="shared" ref="B14:B18" si="3">B13+1</f>
        <v>46252</v>
      </c>
      <c r="C14" s="4">
        <v>200</v>
      </c>
      <c r="D14" s="4">
        <v>830</v>
      </c>
      <c r="E14" s="6" t="s">
        <v>459</v>
      </c>
      <c r="F14" s="7"/>
      <c r="H14" s="4">
        <v>-434</v>
      </c>
      <c r="I14" s="1">
        <f t="shared" si="2"/>
        <v>-634</v>
      </c>
    </row>
    <row r="15" spans="2:9" x14ac:dyDescent="0.3">
      <c r="B15" s="20">
        <f t="shared" si="3"/>
        <v>46253</v>
      </c>
      <c r="C15" s="4">
        <v>200</v>
      </c>
      <c r="D15" s="4">
        <v>0</v>
      </c>
      <c r="E15" s="6"/>
      <c r="F15" s="7"/>
      <c r="H15" s="4">
        <v>430</v>
      </c>
      <c r="I15" s="1">
        <f t="shared" si="2"/>
        <v>230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>
        <v>111</v>
      </c>
      <c r="I16" s="1">
        <f t="shared" si="2"/>
        <v>111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>
        <v>106</v>
      </c>
      <c r="I17" s="1">
        <f t="shared" si="2"/>
        <v>106</v>
      </c>
    </row>
    <row r="18" spans="2:9" ht="15" thickBot="1" x14ac:dyDescent="0.35">
      <c r="B18" s="20">
        <f t="shared" si="3"/>
        <v>46256</v>
      </c>
      <c r="C18" s="4">
        <v>300</v>
      </c>
      <c r="D18" s="4">
        <v>0</v>
      </c>
      <c r="E18" s="6"/>
      <c r="F18" s="7"/>
      <c r="H18" s="4">
        <v>625</v>
      </c>
      <c r="I18" s="1">
        <f t="shared" si="2"/>
        <v>325</v>
      </c>
    </row>
    <row r="19" spans="2:9" x14ac:dyDescent="0.3">
      <c r="B19" s="21" t="s">
        <v>11</v>
      </c>
      <c r="C19" s="2">
        <f>SUM(C12:C18)</f>
        <v>1000</v>
      </c>
      <c r="D19" s="2">
        <f>SUM(D12:D18)</f>
        <v>830</v>
      </c>
      <c r="E19" s="6"/>
      <c r="F19" s="7"/>
      <c r="H19" s="2">
        <f>SUM(H12:H18)</f>
        <v>1431</v>
      </c>
      <c r="I19" s="2">
        <f>SUM(I12:I18)</f>
        <v>431</v>
      </c>
    </row>
    <row r="20" spans="2:9" x14ac:dyDescent="0.3">
      <c r="B20" s="20">
        <f>B18+1</f>
        <v>46257</v>
      </c>
      <c r="C20" s="4">
        <v>150</v>
      </c>
      <c r="D20" s="4">
        <v>0</v>
      </c>
      <c r="E20" s="6"/>
      <c r="F20" s="7"/>
      <c r="H20" s="4">
        <v>-42</v>
      </c>
      <c r="I20" s="1">
        <f>H20-C20</f>
        <v>-192</v>
      </c>
    </row>
    <row r="21" spans="2:9" x14ac:dyDescent="0.3">
      <c r="B21" s="20">
        <f>B20+1</f>
        <v>46258</v>
      </c>
      <c r="C21" s="4">
        <v>335</v>
      </c>
      <c r="D21" s="4">
        <v>0</v>
      </c>
      <c r="E21" s="6"/>
      <c r="F21" s="7"/>
      <c r="H21" s="4">
        <v>590</v>
      </c>
      <c r="I21" s="1">
        <f t="shared" ref="I21:I26" si="4">H21-C21</f>
        <v>255</v>
      </c>
    </row>
    <row r="22" spans="2:9" x14ac:dyDescent="0.3">
      <c r="B22" s="20">
        <f t="shared" ref="B22:B26" si="5">B21+1</f>
        <v>46259</v>
      </c>
      <c r="C22" s="4">
        <v>0</v>
      </c>
      <c r="D22" s="4">
        <v>900</v>
      </c>
      <c r="E22" s="6" t="s">
        <v>459</v>
      </c>
      <c r="F22" s="7"/>
      <c r="H22" s="4">
        <v>-812</v>
      </c>
      <c r="I22" s="1">
        <f t="shared" si="4"/>
        <v>-812</v>
      </c>
    </row>
    <row r="23" spans="2:9" x14ac:dyDescent="0.3">
      <c r="B23" s="20">
        <f t="shared" si="5"/>
        <v>46260</v>
      </c>
      <c r="C23" s="4">
        <v>105</v>
      </c>
      <c r="D23" s="4">
        <v>0</v>
      </c>
      <c r="E23" s="6"/>
      <c r="F23" s="7"/>
      <c r="H23" s="4">
        <v>112</v>
      </c>
      <c r="I23" s="1">
        <f t="shared" si="4"/>
        <v>7</v>
      </c>
    </row>
    <row r="24" spans="2:9" x14ac:dyDescent="0.3">
      <c r="B24" s="20">
        <f t="shared" si="5"/>
        <v>46261</v>
      </c>
      <c r="C24" s="4">
        <v>500</v>
      </c>
      <c r="D24" s="4">
        <v>0</v>
      </c>
      <c r="E24" s="6"/>
      <c r="F24" s="7"/>
      <c r="H24" s="4">
        <v>473</v>
      </c>
      <c r="I24" s="1">
        <f t="shared" si="4"/>
        <v>-27</v>
      </c>
    </row>
    <row r="25" spans="2:9" x14ac:dyDescent="0.3">
      <c r="B25" s="20">
        <f t="shared" si="5"/>
        <v>46262</v>
      </c>
      <c r="C25" s="4">
        <v>300</v>
      </c>
      <c r="D25" s="4">
        <v>755</v>
      </c>
      <c r="E25" s="6" t="s">
        <v>459</v>
      </c>
      <c r="F25" s="7"/>
      <c r="H25" s="4">
        <v>309</v>
      </c>
      <c r="I25" s="1">
        <f t="shared" si="4"/>
        <v>9</v>
      </c>
    </row>
    <row r="26" spans="2:9" ht="15" thickBot="1" x14ac:dyDescent="0.35">
      <c r="B26" s="20">
        <f t="shared" si="5"/>
        <v>46263</v>
      </c>
      <c r="C26" s="4">
        <v>420</v>
      </c>
      <c r="D26" s="4">
        <v>0</v>
      </c>
      <c r="E26" s="6"/>
      <c r="F26" s="7"/>
      <c r="H26" s="4">
        <v>459</v>
      </c>
      <c r="I26" s="1">
        <f t="shared" si="4"/>
        <v>39</v>
      </c>
    </row>
    <row r="27" spans="2:9" x14ac:dyDescent="0.3">
      <c r="B27" s="21" t="s">
        <v>11</v>
      </c>
      <c r="C27" s="2">
        <f>SUM(C20:C26)</f>
        <v>1810</v>
      </c>
      <c r="D27" s="2">
        <f>SUM(D20:D26)</f>
        <v>1655</v>
      </c>
      <c r="E27" s="6"/>
      <c r="F27" s="7"/>
      <c r="H27" s="2">
        <f>SUM(H20:H26)</f>
        <v>1089</v>
      </c>
      <c r="I27" s="2">
        <f>SUM(I20:I26)</f>
        <v>-721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>
        <v>8</v>
      </c>
      <c r="I28" s="1">
        <f>H28-C28</f>
        <v>8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>
        <v>10</v>
      </c>
      <c r="I29" s="1">
        <f t="shared" ref="I29:I34" si="6">H29-C29</f>
        <v>10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>
        <v>13</v>
      </c>
      <c r="I30" s="1">
        <f t="shared" si="6"/>
        <v>13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>
        <v>15</v>
      </c>
      <c r="I31" s="1">
        <f t="shared" si="6"/>
        <v>15</v>
      </c>
    </row>
    <row r="32" spans="2:9" x14ac:dyDescent="0.3">
      <c r="B32" s="20">
        <f t="shared" si="7"/>
        <v>46268</v>
      </c>
      <c r="C32" s="4">
        <v>435</v>
      </c>
      <c r="D32" s="4">
        <v>980</v>
      </c>
      <c r="E32" s="6" t="s">
        <v>459</v>
      </c>
      <c r="F32" s="7"/>
      <c r="H32" s="4">
        <v>425</v>
      </c>
      <c r="I32" s="1">
        <f t="shared" si="6"/>
        <v>-10</v>
      </c>
    </row>
    <row r="33" spans="1:9" x14ac:dyDescent="0.3">
      <c r="B33" s="20">
        <f t="shared" si="7"/>
        <v>46269</v>
      </c>
      <c r="C33" s="4">
        <v>250</v>
      </c>
      <c r="D33" s="4">
        <v>0</v>
      </c>
      <c r="E33" s="6"/>
      <c r="F33" s="7"/>
      <c r="H33" s="4">
        <v>116</v>
      </c>
      <c r="I33" s="1">
        <f t="shared" si="6"/>
        <v>-134</v>
      </c>
    </row>
    <row r="34" spans="1:9" ht="15" thickBot="1" x14ac:dyDescent="0.35">
      <c r="B34" s="20">
        <f t="shared" si="7"/>
        <v>46270</v>
      </c>
      <c r="C34" s="4">
        <v>0</v>
      </c>
      <c r="D34" s="4">
        <v>0</v>
      </c>
      <c r="E34" s="6"/>
      <c r="F34" s="7"/>
      <c r="H34" s="4">
        <v>-30</v>
      </c>
      <c r="I34" s="1">
        <f t="shared" si="6"/>
        <v>-30</v>
      </c>
    </row>
    <row r="35" spans="1:9" x14ac:dyDescent="0.3">
      <c r="B35" s="19" t="s">
        <v>11</v>
      </c>
      <c r="C35" s="2">
        <f>SUM(C28:C34)</f>
        <v>685</v>
      </c>
      <c r="D35" s="2">
        <f>SUM(D28:D34)</f>
        <v>980</v>
      </c>
      <c r="E35" s="6"/>
      <c r="F35" s="7"/>
      <c r="H35" s="2">
        <f t="shared" ref="H35:I35" si="8">SUM(H28:H34)</f>
        <v>557</v>
      </c>
      <c r="I35" s="2">
        <f t="shared" si="8"/>
        <v>-128</v>
      </c>
    </row>
    <row r="36" spans="1:9" x14ac:dyDescent="0.3">
      <c r="B36" s="19" t="s">
        <v>12</v>
      </c>
      <c r="C36" s="3">
        <f>SUM(C35+C27+C19+C11)</f>
        <v>4291</v>
      </c>
      <c r="D36" s="3">
        <f>SUM(D35+D27+D19+D11)</f>
        <v>4869</v>
      </c>
      <c r="E36" s="6"/>
      <c r="F36" s="7">
        <v>0</v>
      </c>
      <c r="H36" s="3">
        <f>SUM(H35+H27+H19+H11)</f>
        <v>3809</v>
      </c>
      <c r="I36" s="3">
        <f>SUM(I35+I27+I19+I11)</f>
        <v>-482</v>
      </c>
    </row>
    <row r="37" spans="1:9" ht="15" thickBot="1" x14ac:dyDescent="0.35">
      <c r="B37" s="19" t="s">
        <v>13</v>
      </c>
      <c r="C37" s="1">
        <f>D36+C36</f>
        <v>9160</v>
      </c>
      <c r="E37" s="24"/>
      <c r="F37" s="25"/>
      <c r="H37" s="1">
        <f t="shared" ref="H37:I37" si="9">I36+H36</f>
        <v>3327</v>
      </c>
      <c r="I37" s="1">
        <f t="shared" si="9"/>
        <v>-482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49">
        <v>805</v>
      </c>
      <c r="E39" s="6" t="s">
        <v>459</v>
      </c>
      <c r="F39" s="30"/>
    </row>
    <row r="40" spans="1:9" x14ac:dyDescent="0.3">
      <c r="B40" s="31"/>
      <c r="C40" s="41"/>
      <c r="F40" s="32"/>
    </row>
    <row r="41" spans="1:9" x14ac:dyDescent="0.3">
      <c r="B41" s="29" t="s">
        <v>16</v>
      </c>
      <c r="C41" s="49">
        <v>2</v>
      </c>
      <c r="F41" s="32"/>
    </row>
    <row r="42" spans="1:9" x14ac:dyDescent="0.3">
      <c r="B42" s="29"/>
      <c r="C42" s="41"/>
      <c r="F42" s="32"/>
    </row>
    <row r="43" spans="1:9" x14ac:dyDescent="0.3">
      <c r="B43" s="29" t="s">
        <v>17</v>
      </c>
      <c r="C43" s="49">
        <v>200</v>
      </c>
      <c r="F43" s="32"/>
    </row>
    <row r="44" spans="1:9" x14ac:dyDescent="0.3">
      <c r="B44" s="29"/>
      <c r="C44" s="41"/>
      <c r="F44" s="32"/>
    </row>
    <row r="45" spans="1:9" x14ac:dyDescent="0.3">
      <c r="B45" s="33" t="s">
        <v>18</v>
      </c>
      <c r="C45" s="53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300</v>
      </c>
      <c r="D48" s="4">
        <v>0</v>
      </c>
      <c r="E48" s="6" t="s">
        <v>459</v>
      </c>
      <c r="F48" s="7"/>
      <c r="H48" s="4">
        <v>-157</v>
      </c>
      <c r="I48" s="1">
        <f>H48-C48</f>
        <v>-457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/>
      <c r="F49" s="63" t="s">
        <v>460</v>
      </c>
      <c r="H49" s="4">
        <v>482</v>
      </c>
      <c r="I49" s="1">
        <f t="shared" ref="I49:I54" si="10">H49-C49</f>
        <v>482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/>
      <c r="F50" s="7" t="s">
        <v>461</v>
      </c>
      <c r="H50" s="4">
        <v>-58</v>
      </c>
      <c r="I50" s="1">
        <f t="shared" si="10"/>
        <v>-58</v>
      </c>
    </row>
    <row r="51" spans="1:9" x14ac:dyDescent="0.3">
      <c r="A51" s="41"/>
      <c r="B51" s="41" t="s">
        <v>24</v>
      </c>
      <c r="C51" s="4"/>
      <c r="D51" s="4">
        <v>1075</v>
      </c>
      <c r="E51" s="6" t="s">
        <v>459</v>
      </c>
      <c r="F51" s="7"/>
      <c r="H51" s="4">
        <v>-30</v>
      </c>
      <c r="I51" s="1">
        <f t="shared" si="10"/>
        <v>-30</v>
      </c>
    </row>
    <row r="52" spans="1:9" x14ac:dyDescent="0.3">
      <c r="A52" s="41"/>
      <c r="B52" s="41" t="s">
        <v>25</v>
      </c>
      <c r="C52" s="4">
        <v>250</v>
      </c>
      <c r="D52" s="4">
        <v>0</v>
      </c>
      <c r="E52" s="6" t="s">
        <v>459</v>
      </c>
      <c r="F52" s="7"/>
      <c r="H52" s="4">
        <v>303</v>
      </c>
      <c r="I52" s="1">
        <f t="shared" si="10"/>
        <v>53</v>
      </c>
    </row>
    <row r="53" spans="1:9" x14ac:dyDescent="0.3">
      <c r="A53" s="41"/>
      <c r="B53" s="41" t="s">
        <v>26</v>
      </c>
      <c r="C53" s="4">
        <v>180</v>
      </c>
      <c r="D53" s="4">
        <v>0</v>
      </c>
      <c r="E53" s="6" t="s">
        <v>459</v>
      </c>
      <c r="F53" s="7"/>
      <c r="H53" s="4">
        <v>193</v>
      </c>
      <c r="I53" s="1">
        <f t="shared" si="10"/>
        <v>13</v>
      </c>
    </row>
    <row r="54" spans="1:9" x14ac:dyDescent="0.3">
      <c r="A54" s="41"/>
      <c r="B54" s="41" t="s">
        <v>27</v>
      </c>
      <c r="C54" s="4">
        <v>475</v>
      </c>
      <c r="D54" s="4">
        <v>0</v>
      </c>
      <c r="E54" s="6" t="s">
        <v>459</v>
      </c>
      <c r="F54" s="7"/>
      <c r="H54" s="4">
        <v>489</v>
      </c>
      <c r="I54" s="1">
        <f t="shared" si="10"/>
        <v>14</v>
      </c>
    </row>
    <row r="55" spans="1:9" x14ac:dyDescent="0.3">
      <c r="A55" s="41"/>
      <c r="B55" s="41" t="s">
        <v>29</v>
      </c>
      <c r="C55" s="2">
        <f>SUM(C48:C54)</f>
        <v>1205</v>
      </c>
      <c r="D55" s="2">
        <f>SUM(D48:D54)</f>
        <v>1075</v>
      </c>
      <c r="E55" s="6"/>
      <c r="F55" s="7"/>
      <c r="H55" s="2">
        <f>SUM(H48:H54)</f>
        <v>1222</v>
      </c>
      <c r="I55" s="2">
        <f>SUM(I48:I54)</f>
        <v>17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/>
      <c r="F56" s="7"/>
      <c r="H56" s="4">
        <v>489</v>
      </c>
      <c r="I56" s="1">
        <f>H56-C56</f>
        <v>489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/>
      <c r="F57" s="7"/>
      <c r="H57" s="4">
        <v>-8</v>
      </c>
      <c r="I57" s="1">
        <f t="shared" ref="I57:I62" si="11">H57-C57</f>
        <v>-8</v>
      </c>
    </row>
    <row r="58" spans="1:9" x14ac:dyDescent="0.3">
      <c r="A58" s="41"/>
      <c r="B58" s="41" t="s">
        <v>32</v>
      </c>
      <c r="C58" s="4">
        <v>300</v>
      </c>
      <c r="D58" s="4">
        <v>905</v>
      </c>
      <c r="E58" s="6" t="s">
        <v>462</v>
      </c>
      <c r="F58" s="7" t="s">
        <v>463</v>
      </c>
      <c r="H58" s="4">
        <v>-341</v>
      </c>
      <c r="I58" s="1">
        <f t="shared" si="11"/>
        <v>-641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/>
      <c r="F59" s="7"/>
      <c r="H59" s="4">
        <v>18</v>
      </c>
      <c r="I59" s="1">
        <f t="shared" si="11"/>
        <v>18</v>
      </c>
    </row>
    <row r="60" spans="1:9" x14ac:dyDescent="0.3">
      <c r="A60" s="41"/>
      <c r="B60" s="41" t="s">
        <v>35</v>
      </c>
      <c r="C60" s="4">
        <v>400</v>
      </c>
      <c r="D60" s="4">
        <v>0</v>
      </c>
      <c r="E60" s="6" t="s">
        <v>459</v>
      </c>
      <c r="F60" s="7" t="s">
        <v>464</v>
      </c>
      <c r="H60" s="4">
        <v>1020</v>
      </c>
      <c r="I60" s="1">
        <f t="shared" si="11"/>
        <v>620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/>
      <c r="F61" s="7"/>
      <c r="H61" s="4">
        <v>6</v>
      </c>
      <c r="I61" s="1">
        <f t="shared" si="11"/>
        <v>6</v>
      </c>
    </row>
    <row r="62" spans="1:9" x14ac:dyDescent="0.3">
      <c r="A62" s="41"/>
      <c r="B62" s="41" t="s">
        <v>37</v>
      </c>
      <c r="C62" s="4">
        <v>370</v>
      </c>
      <c r="D62" s="4">
        <v>0</v>
      </c>
      <c r="E62" s="6" t="s">
        <v>459</v>
      </c>
      <c r="F62" s="7"/>
      <c r="H62" s="4">
        <v>259</v>
      </c>
      <c r="I62" s="1">
        <f t="shared" si="11"/>
        <v>-111</v>
      </c>
    </row>
    <row r="63" spans="1:9" x14ac:dyDescent="0.3">
      <c r="A63" s="41"/>
      <c r="B63" s="41" t="s">
        <v>29</v>
      </c>
      <c r="C63" s="2">
        <f>SUM(C56:C62)</f>
        <v>1070</v>
      </c>
      <c r="D63" s="2">
        <f>SUM(D56:D62)</f>
        <v>905</v>
      </c>
      <c r="E63" s="6"/>
      <c r="F63" s="7"/>
      <c r="H63" s="2">
        <f>SUM(H56:H62)</f>
        <v>1443</v>
      </c>
      <c r="I63" s="2">
        <f>SUM(I56:I62)</f>
        <v>373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/>
      <c r="F64" s="7"/>
      <c r="H64" s="4">
        <v>92</v>
      </c>
      <c r="I64" s="1">
        <f>H64-C64</f>
        <v>92</v>
      </c>
    </row>
    <row r="65" spans="1:9" x14ac:dyDescent="0.3">
      <c r="A65" s="41"/>
      <c r="B65" s="41" t="s">
        <v>39</v>
      </c>
      <c r="C65" s="4">
        <v>100</v>
      </c>
      <c r="D65" s="4">
        <v>0</v>
      </c>
      <c r="E65" s="6"/>
      <c r="F65" s="7"/>
      <c r="H65" s="4">
        <v>81</v>
      </c>
      <c r="I65" s="1">
        <f t="shared" ref="I65:I70" si="12">H65-C65</f>
        <v>-19</v>
      </c>
    </row>
    <row r="66" spans="1:9" x14ac:dyDescent="0.3">
      <c r="A66" s="41"/>
      <c r="B66" s="41" t="s">
        <v>40</v>
      </c>
      <c r="C66" s="4">
        <v>0</v>
      </c>
      <c r="D66" s="4">
        <v>800</v>
      </c>
      <c r="E66" s="6" t="s">
        <v>465</v>
      </c>
      <c r="F66" s="7"/>
      <c r="H66" s="4">
        <v>89</v>
      </c>
      <c r="I66" s="1">
        <f t="shared" si="12"/>
        <v>89</v>
      </c>
    </row>
    <row r="67" spans="1:9" x14ac:dyDescent="0.3">
      <c r="A67" s="41"/>
      <c r="B67" s="41" t="s">
        <v>41</v>
      </c>
      <c r="C67" s="4">
        <v>480</v>
      </c>
      <c r="D67" s="4">
        <v>0</v>
      </c>
      <c r="E67" s="6" t="s">
        <v>459</v>
      </c>
      <c r="F67" s="7"/>
      <c r="H67" s="4">
        <v>490</v>
      </c>
      <c r="I67" s="1">
        <f t="shared" si="12"/>
        <v>10</v>
      </c>
    </row>
    <row r="68" spans="1:9" x14ac:dyDescent="0.3">
      <c r="A68" s="41"/>
      <c r="B68" s="41" t="s">
        <v>42</v>
      </c>
      <c r="C68" s="4">
        <v>100</v>
      </c>
      <c r="D68" s="4">
        <v>0</v>
      </c>
      <c r="E68" s="6" t="s">
        <v>466</v>
      </c>
      <c r="F68" s="7"/>
      <c r="H68" s="4">
        <v>-41</v>
      </c>
      <c r="I68" s="1">
        <f t="shared" si="12"/>
        <v>-141</v>
      </c>
    </row>
    <row r="69" spans="1:9" x14ac:dyDescent="0.3">
      <c r="A69" s="41"/>
      <c r="B69" s="41" t="s">
        <v>44</v>
      </c>
      <c r="C69" s="4">
        <v>336</v>
      </c>
      <c r="D69" s="4">
        <v>1000</v>
      </c>
      <c r="E69" s="6" t="s">
        <v>467</v>
      </c>
      <c r="F69" s="7" t="s">
        <v>468</v>
      </c>
      <c r="H69" s="4">
        <v>261</v>
      </c>
      <c r="I69" s="1">
        <f t="shared" si="12"/>
        <v>-75</v>
      </c>
    </row>
    <row r="70" spans="1:9" x14ac:dyDescent="0.3">
      <c r="A70" s="41"/>
      <c r="B70" s="41" t="s">
        <v>45</v>
      </c>
      <c r="C70" s="4">
        <v>500</v>
      </c>
      <c r="D70" s="4">
        <v>0</v>
      </c>
      <c r="E70" s="6" t="s">
        <v>459</v>
      </c>
      <c r="F70" s="7"/>
      <c r="H70" s="4">
        <v>594</v>
      </c>
      <c r="I70" s="1">
        <f t="shared" si="12"/>
        <v>94</v>
      </c>
    </row>
    <row r="71" spans="1:9" x14ac:dyDescent="0.3">
      <c r="A71" s="41"/>
      <c r="B71" s="41" t="s">
        <v>29</v>
      </c>
      <c r="C71" s="2">
        <f>SUM(C64:C70)</f>
        <v>1516</v>
      </c>
      <c r="D71" s="2">
        <f>SUM(D64:D70)</f>
        <v>1800</v>
      </c>
      <c r="E71" s="6"/>
      <c r="F71" s="7"/>
      <c r="H71" s="2">
        <f>SUM(H64:H70)</f>
        <v>1566</v>
      </c>
      <c r="I71" s="2">
        <f>SUM(I64:I70)</f>
        <v>50</v>
      </c>
    </row>
    <row r="72" spans="1:9" x14ac:dyDescent="0.3">
      <c r="A72" s="41"/>
      <c r="B72" s="41" t="s">
        <v>46</v>
      </c>
      <c r="C72" s="4">
        <v>300</v>
      </c>
      <c r="D72" s="4">
        <v>0</v>
      </c>
      <c r="E72" s="6" t="s">
        <v>459</v>
      </c>
      <c r="F72" s="7"/>
      <c r="H72" s="4">
        <v>320</v>
      </c>
      <c r="I72" s="1">
        <f>H72-C72</f>
        <v>20</v>
      </c>
    </row>
    <row r="73" spans="1:9" x14ac:dyDescent="0.3">
      <c r="A73" s="41"/>
      <c r="B73" s="41" t="s">
        <v>47</v>
      </c>
      <c r="C73" s="4">
        <v>0</v>
      </c>
      <c r="D73" s="4">
        <v>975</v>
      </c>
      <c r="E73" s="6" t="s">
        <v>467</v>
      </c>
      <c r="F73" s="7" t="s">
        <v>469</v>
      </c>
      <c r="H73" s="4">
        <v>9</v>
      </c>
      <c r="I73" s="1">
        <f t="shared" ref="I73:I78" si="13">H73-C73</f>
        <v>9</v>
      </c>
    </row>
    <row r="74" spans="1:9" x14ac:dyDescent="0.3">
      <c r="A74" s="41"/>
      <c r="B74" s="41" t="s">
        <v>48</v>
      </c>
      <c r="C74" s="4">
        <v>400</v>
      </c>
      <c r="D74" s="4">
        <v>0</v>
      </c>
      <c r="E74" s="6" t="s">
        <v>459</v>
      </c>
      <c r="F74" s="7"/>
      <c r="H74" s="4">
        <v>350</v>
      </c>
      <c r="I74" s="1">
        <f t="shared" si="13"/>
        <v>-50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/>
      <c r="F75" s="7"/>
      <c r="H75" s="4">
        <v>10</v>
      </c>
      <c r="I75" s="1">
        <f t="shared" si="13"/>
        <v>10</v>
      </c>
    </row>
    <row r="76" spans="1:9" x14ac:dyDescent="0.3">
      <c r="A76" s="41"/>
      <c r="B76" s="41" t="s">
        <v>51</v>
      </c>
      <c r="C76" s="4">
        <v>604</v>
      </c>
      <c r="D76" s="4">
        <v>0</v>
      </c>
      <c r="E76" s="6" t="s">
        <v>459</v>
      </c>
      <c r="F76" s="7" t="s">
        <v>470</v>
      </c>
      <c r="H76" s="4">
        <v>630</v>
      </c>
      <c r="I76" s="1">
        <f t="shared" si="13"/>
        <v>26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/>
      <c r="F77" s="7"/>
      <c r="H77" s="4">
        <v>-496</v>
      </c>
      <c r="I77" s="1">
        <f t="shared" si="13"/>
        <v>-496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471</v>
      </c>
      <c r="F78" s="7" t="s">
        <v>472</v>
      </c>
      <c r="H78" s="4">
        <v>-34</v>
      </c>
      <c r="I78" s="1">
        <f t="shared" si="13"/>
        <v>-34</v>
      </c>
    </row>
    <row r="79" spans="1:9" x14ac:dyDescent="0.3">
      <c r="A79" s="41"/>
      <c r="B79" s="41" t="s">
        <v>11</v>
      </c>
      <c r="C79" s="2">
        <f>SUM(C72:C78)</f>
        <v>1304</v>
      </c>
      <c r="D79" s="2">
        <f>SUM(D72:D78)</f>
        <v>975</v>
      </c>
      <c r="E79" s="6"/>
      <c r="F79" s="7"/>
      <c r="H79" s="2">
        <f t="shared" ref="H79:I79" si="14">SUM(H72:H78)</f>
        <v>789</v>
      </c>
      <c r="I79" s="2">
        <f t="shared" si="14"/>
        <v>-515</v>
      </c>
    </row>
    <row r="80" spans="1:9" x14ac:dyDescent="0.3">
      <c r="A80" s="41"/>
      <c r="B80" s="41" t="s">
        <v>12</v>
      </c>
      <c r="C80" s="3">
        <f>SUM(C79+C71+C63+C55)</f>
        <v>5095</v>
      </c>
      <c r="D80" s="3">
        <f>SUM(D79+D71+D63+D55)</f>
        <v>4755</v>
      </c>
      <c r="E80" s="6"/>
      <c r="F80" s="7"/>
      <c r="H80" s="3">
        <f t="shared" ref="H80:I80" si="15">SUM(H79+H71+H63+H55)</f>
        <v>5020</v>
      </c>
      <c r="I80" s="3">
        <f t="shared" si="15"/>
        <v>-75</v>
      </c>
    </row>
    <row r="81" spans="1:9" x14ac:dyDescent="0.3">
      <c r="A81" s="41"/>
      <c r="B81" s="41" t="s">
        <v>13</v>
      </c>
      <c r="C81" s="1">
        <f>D80+C80</f>
        <v>9850</v>
      </c>
      <c r="E81" s="24"/>
      <c r="F81" s="25"/>
      <c r="H81" s="1">
        <f t="shared" ref="H81:I81" si="16">I80+H80</f>
        <v>4945</v>
      </c>
      <c r="I81" s="1">
        <f t="shared" si="16"/>
        <v>-75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83">
        <v>512</v>
      </c>
      <c r="D83" s="41"/>
      <c r="E83" s="43" t="s">
        <v>473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350</v>
      </c>
      <c r="D92" s="4">
        <v>900</v>
      </c>
      <c r="E92" s="6" t="s">
        <v>467</v>
      </c>
      <c r="F92" s="7"/>
      <c r="H92" s="4">
        <v>9</v>
      </c>
      <c r="I92" s="1">
        <f>H92-C92</f>
        <v>-341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/>
      <c r="F93" s="7"/>
      <c r="H93" s="4">
        <v>373</v>
      </c>
      <c r="I93" s="1">
        <f t="shared" ref="I93:I98" si="17">H93-C93</f>
        <v>373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/>
      <c r="F94" s="7"/>
      <c r="H94" s="4">
        <v>-1</v>
      </c>
      <c r="I94" s="1">
        <f t="shared" si="17"/>
        <v>-1</v>
      </c>
    </row>
    <row r="95" spans="1:9" x14ac:dyDescent="0.3">
      <c r="A95" s="41"/>
      <c r="B95" s="41" t="s">
        <v>63</v>
      </c>
      <c r="C95" s="4"/>
      <c r="D95" s="4">
        <v>0</v>
      </c>
      <c r="E95" s="6"/>
      <c r="F95" s="7"/>
      <c r="H95" s="4">
        <v>89</v>
      </c>
      <c r="I95" s="1">
        <f t="shared" si="17"/>
        <v>89</v>
      </c>
    </row>
    <row r="96" spans="1:9" x14ac:dyDescent="0.3">
      <c r="A96" s="41"/>
      <c r="B96" s="41" t="s">
        <v>64</v>
      </c>
      <c r="C96" s="4">
        <v>300</v>
      </c>
      <c r="D96" s="4">
        <v>0</v>
      </c>
      <c r="E96" s="6" t="s">
        <v>459</v>
      </c>
      <c r="F96" s="7"/>
      <c r="H96" s="4">
        <v>315</v>
      </c>
      <c r="I96" s="1">
        <f t="shared" si="17"/>
        <v>15</v>
      </c>
    </row>
    <row r="97" spans="1:9" x14ac:dyDescent="0.3">
      <c r="A97" s="41"/>
      <c r="B97" s="41" t="s">
        <v>65</v>
      </c>
      <c r="C97" s="4">
        <v>0</v>
      </c>
      <c r="D97" s="4">
        <v>0</v>
      </c>
      <c r="E97" s="6"/>
      <c r="F97" s="7"/>
      <c r="H97" s="4">
        <v>7</v>
      </c>
      <c r="I97" s="1">
        <f t="shared" si="17"/>
        <v>7</v>
      </c>
    </row>
    <row r="98" spans="1:9" x14ac:dyDescent="0.3">
      <c r="A98" s="41"/>
      <c r="B98" s="41" t="s">
        <v>66</v>
      </c>
      <c r="C98" s="4">
        <v>400</v>
      </c>
      <c r="D98" s="4">
        <v>0</v>
      </c>
      <c r="E98" s="6" t="s">
        <v>459</v>
      </c>
      <c r="F98" s="7"/>
      <c r="H98" s="4">
        <v>430</v>
      </c>
      <c r="I98" s="1">
        <f t="shared" si="17"/>
        <v>30</v>
      </c>
    </row>
    <row r="99" spans="1:9" x14ac:dyDescent="0.3">
      <c r="A99" s="41"/>
      <c r="B99" s="41" t="s">
        <v>29</v>
      </c>
      <c r="C99" s="2">
        <f>SUM(C92:C98)</f>
        <v>1050</v>
      </c>
      <c r="D99" s="2">
        <f>SUM(D92:D98)</f>
        <v>900</v>
      </c>
      <c r="E99" s="6"/>
      <c r="F99" s="7"/>
      <c r="H99" s="2">
        <f>SUM(H92:H98)</f>
        <v>1222</v>
      </c>
      <c r="I99" s="2">
        <f>SUM(I92:I98)</f>
        <v>172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"/>
      <c r="F100" s="7"/>
      <c r="H100" s="4">
        <v>0</v>
      </c>
      <c r="I100" s="1">
        <f>H100-C100</f>
        <v>0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18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18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18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8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8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8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0</v>
      </c>
      <c r="I107" s="2">
        <f>SUM(I100:I106)</f>
        <v>0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19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19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19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19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19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19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0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0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0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0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0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20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1">SUM(H116:H122)</f>
        <v>0</v>
      </c>
      <c r="I123" s="2">
        <f t="shared" si="21"/>
        <v>0</v>
      </c>
    </row>
    <row r="124" spans="1:9" x14ac:dyDescent="0.3">
      <c r="A124" s="41"/>
      <c r="B124" s="41" t="s">
        <v>12</v>
      </c>
      <c r="C124" s="3">
        <f>SUM(C123+C115+C107+C99)</f>
        <v>1050</v>
      </c>
      <c r="D124" s="3">
        <f>SUM(D123+D115+D107+D99)</f>
        <v>900</v>
      </c>
      <c r="E124" s="6"/>
      <c r="F124" s="7"/>
      <c r="H124" s="3">
        <f t="shared" ref="H124:I124" si="22">SUM(H123+H115+H107+H99)</f>
        <v>1222</v>
      </c>
      <c r="I124" s="3">
        <f t="shared" si="22"/>
        <v>172</v>
      </c>
    </row>
    <row r="125" spans="1:9" x14ac:dyDescent="0.3">
      <c r="A125" s="41"/>
      <c r="B125" s="41" t="s">
        <v>13</v>
      </c>
      <c r="C125" s="1">
        <f>D124+C124</f>
        <v>1950</v>
      </c>
      <c r="E125" s="24"/>
      <c r="F125" s="25"/>
      <c r="H125" s="1">
        <f t="shared" ref="H125:I125" si="23">I124+H124</f>
        <v>1394</v>
      </c>
      <c r="I125" s="1">
        <f t="shared" si="23"/>
        <v>172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4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4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4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4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4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4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5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5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5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5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5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5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6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6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6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6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6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6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7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7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7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7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7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7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8">SUM(H160:H166)</f>
        <v>0</v>
      </c>
      <c r="I167" s="2">
        <f t="shared" si="28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29">SUM(H167+H159+H151+H143)</f>
        <v>0</v>
      </c>
      <c r="I168" s="3">
        <f t="shared" si="29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0">I168+H168</f>
        <v>0</v>
      </c>
      <c r="I169" s="1">
        <f t="shared" si="30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1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1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1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1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1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1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2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2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2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2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2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2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3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3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3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3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3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3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4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4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4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4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4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4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5">SUM(H204:H210)</f>
        <v>0</v>
      </c>
      <c r="I211" s="2">
        <f t="shared" si="35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6">SUM(H211+H203+H195+H187)</f>
        <v>0</v>
      </c>
      <c r="I212" s="3">
        <f t="shared" si="36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7">I212+H212</f>
        <v>0</v>
      </c>
      <c r="I213" s="1">
        <f t="shared" si="37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53AED-889F-4C99-9416-10831EDB5DA3}">
  <sheetPr codeName="Sheet19"/>
  <dimension ref="A1:I222"/>
  <sheetViews>
    <sheetView showGridLines="0" workbookViewId="0">
      <pane xSplit="2" ySplit="3" topLeftCell="C87" activePane="bottomRight" state="frozen"/>
      <selection pane="topRight" activeCell="C23" sqref="C23"/>
      <selection pane="bottomLeft" activeCell="C23" sqref="C23"/>
      <selection pane="bottomRight" activeCell="D93" sqref="D93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474</v>
      </c>
      <c r="D1" s="14"/>
    </row>
    <row r="2" spans="2:9" x14ac:dyDescent="0.3">
      <c r="C2" s="5" t="s">
        <v>1</v>
      </c>
      <c r="D2" s="5"/>
    </row>
    <row r="3" spans="2:9" ht="86.4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2376</v>
      </c>
      <c r="E4" s="6" t="s">
        <v>475</v>
      </c>
      <c r="F4" s="7" t="s">
        <v>476</v>
      </c>
      <c r="H4" s="4">
        <v>-123.83</v>
      </c>
      <c r="I4" s="1">
        <f>H4-C4</f>
        <v>-123.83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>
        <v>39.51</v>
      </c>
      <c r="I5" s="1">
        <f t="shared" ref="I5:I10" si="0">H5-C5</f>
        <v>39.51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>
        <v>-9.2100000000000009</v>
      </c>
      <c r="I6" s="1">
        <f t="shared" si="0"/>
        <v>-9.2100000000000009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>
        <v>267.36</v>
      </c>
      <c r="I7" s="1">
        <f t="shared" si="0"/>
        <v>267.36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>
        <v>289.63</v>
      </c>
      <c r="I8" s="1">
        <f t="shared" si="0"/>
        <v>289.63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>
        <v>499.01</v>
      </c>
      <c r="I9" s="1">
        <f t="shared" si="0"/>
        <v>499.01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>
        <v>-646.65</v>
      </c>
      <c r="I10" s="1">
        <f t="shared" si="0"/>
        <v>-646.65</v>
      </c>
    </row>
    <row r="11" spans="2:9" x14ac:dyDescent="0.3">
      <c r="B11" s="21" t="s">
        <v>11</v>
      </c>
      <c r="C11" s="2">
        <f>SUM(C4:C10)</f>
        <v>0</v>
      </c>
      <c r="D11" s="2">
        <f>SUM(D4:D10)</f>
        <v>2376</v>
      </c>
      <c r="E11" s="6"/>
      <c r="F11" s="7"/>
      <c r="H11" s="2">
        <f>SUM(H4:H10)</f>
        <v>315.82000000000005</v>
      </c>
      <c r="I11" s="2">
        <f>SUM(I4:I10)</f>
        <v>315.82000000000005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>
        <v>-35.049999999999997</v>
      </c>
      <c r="I12" s="1">
        <f>H12-C12</f>
        <v>-35.049999999999997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>
        <v>-105.15</v>
      </c>
      <c r="I13" s="1">
        <f t="shared" ref="I13:I18" si="2">H13-C13</f>
        <v>-105.15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>
        <v>-202.16</v>
      </c>
      <c r="I14" s="1">
        <f t="shared" si="2"/>
        <v>-202.16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 t="s">
        <v>475</v>
      </c>
      <c r="F15" s="7"/>
      <c r="H15" s="4">
        <v>276.95</v>
      </c>
      <c r="I15" s="1">
        <f t="shared" si="2"/>
        <v>276.95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 t="s">
        <v>475</v>
      </c>
      <c r="F16" s="7"/>
      <c r="H16" s="4">
        <v>144.49</v>
      </c>
      <c r="I16" s="1">
        <f t="shared" si="2"/>
        <v>144.49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>
        <v>-213.92</v>
      </c>
      <c r="I17" s="1">
        <f t="shared" si="2"/>
        <v>-213.92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>
        <v>12.82</v>
      </c>
      <c r="I18" s="1">
        <f t="shared" si="2"/>
        <v>12.82</v>
      </c>
    </row>
    <row r="19" spans="2:9" x14ac:dyDescent="0.3">
      <c r="B19" s="21" t="s">
        <v>11</v>
      </c>
      <c r="C19" s="2">
        <f>SUM(C12:C18)</f>
        <v>0</v>
      </c>
      <c r="D19" s="2">
        <f>SUM(D12:D18)</f>
        <v>0</v>
      </c>
      <c r="E19" s="6"/>
      <c r="F19" s="7"/>
      <c r="H19" s="2">
        <f>SUM(H12:H18)</f>
        <v>-122.02000000000001</v>
      </c>
      <c r="I19" s="2">
        <f>SUM(I12:I18)</f>
        <v>-122.02000000000001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>
        <v>-112.87</v>
      </c>
      <c r="I20" s="1">
        <f>H20-C20</f>
        <v>-112.87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>
        <v>-311.29000000000002</v>
      </c>
      <c r="I21" s="1">
        <f t="shared" ref="I21:I26" si="4">H21-C21</f>
        <v>-311.29000000000002</v>
      </c>
    </row>
    <row r="22" spans="2:9" x14ac:dyDescent="0.3">
      <c r="B22" s="20">
        <f t="shared" ref="B22:B26" si="5">B21+1</f>
        <v>46259</v>
      </c>
      <c r="C22" s="4">
        <v>0</v>
      </c>
      <c r="D22" s="4">
        <v>2990</v>
      </c>
      <c r="E22" s="6" t="s">
        <v>477</v>
      </c>
      <c r="F22" s="7"/>
      <c r="H22" s="4">
        <v>289.37</v>
      </c>
      <c r="I22" s="1">
        <f t="shared" si="4"/>
        <v>289.37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/>
      <c r="F23" s="7"/>
      <c r="H23" s="4">
        <v>-53.52</v>
      </c>
      <c r="I23" s="1">
        <f t="shared" si="4"/>
        <v>-53.52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>
        <v>45.06</v>
      </c>
      <c r="I24" s="1">
        <f t="shared" si="4"/>
        <v>45.06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>
        <v>-41.33</v>
      </c>
      <c r="I25" s="1">
        <f t="shared" si="4"/>
        <v>-41.33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>
        <v>-471.97</v>
      </c>
      <c r="I26" s="1">
        <f t="shared" si="4"/>
        <v>-471.97</v>
      </c>
    </row>
    <row r="27" spans="2:9" x14ac:dyDescent="0.3">
      <c r="B27" s="21" t="s">
        <v>11</v>
      </c>
      <c r="C27" s="2">
        <f>SUM(C20:C26)</f>
        <v>0</v>
      </c>
      <c r="D27" s="2">
        <f>SUM(D20:D26)</f>
        <v>2990</v>
      </c>
      <c r="E27" s="6"/>
      <c r="F27" s="7"/>
      <c r="H27" s="2">
        <f>SUM(H20:H26)</f>
        <v>-656.55000000000007</v>
      </c>
      <c r="I27" s="2">
        <f>SUM(I20:I26)</f>
        <v>-656.55000000000007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>
        <v>444.88</v>
      </c>
      <c r="I28" s="1">
        <f>H28-C28</f>
        <v>444.88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>
        <v>-17.920000000000002</v>
      </c>
      <c r="I29" s="1">
        <f t="shared" ref="I29:I34" si="6">H29-C29</f>
        <v>-17.920000000000002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>
        <v>-4.0999999999999996</v>
      </c>
      <c r="I30" s="1">
        <f t="shared" si="6"/>
        <v>-4.0999999999999996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>
        <v>73.38</v>
      </c>
      <c r="I31" s="1">
        <f t="shared" si="6"/>
        <v>73.38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>
        <v>-717.37</v>
      </c>
      <c r="I32" s="1">
        <f t="shared" si="6"/>
        <v>-717.37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>
        <v>827.41</v>
      </c>
      <c r="I33" s="1">
        <f t="shared" si="6"/>
        <v>827.41</v>
      </c>
    </row>
    <row r="34" spans="1:9" ht="15" thickBot="1" x14ac:dyDescent="0.35">
      <c r="B34" s="20">
        <f t="shared" si="7"/>
        <v>46270</v>
      </c>
      <c r="C34" s="4">
        <v>0</v>
      </c>
      <c r="D34" s="4">
        <v>0</v>
      </c>
      <c r="E34" s="6"/>
      <c r="F34" s="7"/>
      <c r="H34" s="4">
        <v>-112.1</v>
      </c>
      <c r="I34" s="1">
        <f t="shared" si="6"/>
        <v>-112.1</v>
      </c>
    </row>
    <row r="35" spans="1:9" x14ac:dyDescent="0.3">
      <c r="B35" s="19" t="s">
        <v>11</v>
      </c>
      <c r="C35" s="2">
        <f>SUM(C28:C34)</f>
        <v>0</v>
      </c>
      <c r="D35" s="2">
        <f>SUM(D28:D34)</f>
        <v>0</v>
      </c>
      <c r="E35" s="6"/>
      <c r="F35" s="7"/>
      <c r="H35" s="2">
        <f t="shared" ref="H35:I35" si="8">SUM(H28:H34)</f>
        <v>494.17999999999995</v>
      </c>
      <c r="I35" s="2">
        <f t="shared" si="8"/>
        <v>494.17999999999995</v>
      </c>
    </row>
    <row r="36" spans="1:9" x14ac:dyDescent="0.3">
      <c r="B36" s="19" t="s">
        <v>12</v>
      </c>
      <c r="C36" s="3">
        <f>SUM(C35+C27+C19+C11)</f>
        <v>0</v>
      </c>
      <c r="D36" s="3">
        <f>SUM(D35+D27+D19+D11)</f>
        <v>5366</v>
      </c>
      <c r="E36" s="6"/>
      <c r="F36" s="7"/>
      <c r="H36" s="3">
        <f t="shared" ref="H36:I36" si="9">SUM(H35+H27+H19+H11)</f>
        <v>31.42999999999995</v>
      </c>
      <c r="I36" s="3">
        <f t="shared" si="9"/>
        <v>31.42999999999995</v>
      </c>
    </row>
    <row r="37" spans="1:9" ht="15" thickBot="1" x14ac:dyDescent="0.35">
      <c r="B37" s="19" t="s">
        <v>13</v>
      </c>
      <c r="C37" s="1">
        <f>D36+C36</f>
        <v>5366</v>
      </c>
      <c r="E37" s="24"/>
      <c r="F37" s="25"/>
      <c r="H37" s="1">
        <f t="shared" ref="H37:I37" si="10">I36+H36</f>
        <v>62.8599999999999</v>
      </c>
      <c r="I37" s="1">
        <f t="shared" si="10"/>
        <v>31.42999999999995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5366</v>
      </c>
      <c r="E39" s="6"/>
      <c r="F39" s="30" t="s">
        <v>478</v>
      </c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5366</v>
      </c>
      <c r="E48" s="6"/>
      <c r="F48" s="7" t="s">
        <v>479</v>
      </c>
      <c r="H48" s="4">
        <v>-59.05</v>
      </c>
      <c r="I48" s="1">
        <f>H48-C48</f>
        <v>-59.05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475</v>
      </c>
      <c r="F49" s="7"/>
      <c r="H49" s="4">
        <v>-55.79</v>
      </c>
      <c r="I49" s="1">
        <f t="shared" ref="I49:I54" si="11">H49-C49</f>
        <v>-55.79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477</v>
      </c>
      <c r="F50" s="7"/>
      <c r="H50" s="4">
        <v>13.39</v>
      </c>
      <c r="I50" s="1">
        <f t="shared" si="11"/>
        <v>13.39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 t="s">
        <v>477</v>
      </c>
      <c r="F51" s="7"/>
      <c r="H51" s="4">
        <v>-0.57999999999999996</v>
      </c>
      <c r="I51" s="1">
        <f t="shared" si="11"/>
        <v>-0.57999999999999996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 t="s">
        <v>477</v>
      </c>
      <c r="F52" s="7"/>
      <c r="H52" s="4">
        <v>129.33000000000001</v>
      </c>
      <c r="I52" s="1">
        <f t="shared" si="11"/>
        <v>129.33000000000001</v>
      </c>
    </row>
    <row r="53" spans="1:9" x14ac:dyDescent="0.3">
      <c r="A53" s="41"/>
      <c r="B53" s="41" t="s">
        <v>26</v>
      </c>
      <c r="C53" s="4">
        <v>100</v>
      </c>
      <c r="D53" s="4">
        <v>0</v>
      </c>
      <c r="E53" s="6" t="s">
        <v>477</v>
      </c>
      <c r="F53" s="7"/>
      <c r="H53" s="4">
        <v>260.38</v>
      </c>
      <c r="I53" s="1">
        <f t="shared" si="11"/>
        <v>160.38</v>
      </c>
    </row>
    <row r="54" spans="1:9" x14ac:dyDescent="0.3">
      <c r="A54" s="41"/>
      <c r="B54" s="41" t="s">
        <v>27</v>
      </c>
      <c r="C54" s="4">
        <v>0</v>
      </c>
      <c r="D54" s="4">
        <v>0</v>
      </c>
      <c r="E54" s="6" t="s">
        <v>477</v>
      </c>
      <c r="F54" s="7"/>
      <c r="H54" s="4">
        <v>-199.33</v>
      </c>
      <c r="I54" s="1">
        <f t="shared" si="11"/>
        <v>-199.33</v>
      </c>
    </row>
    <row r="55" spans="1:9" x14ac:dyDescent="0.3">
      <c r="A55" s="41"/>
      <c r="B55" s="41" t="s">
        <v>29</v>
      </c>
      <c r="C55" s="2">
        <f>SUM(C48:C54)</f>
        <v>100</v>
      </c>
      <c r="D55" s="2">
        <f>SUM(D48:D54)</f>
        <v>5366</v>
      </c>
      <c r="E55" s="6" t="s">
        <v>477</v>
      </c>
      <c r="F55" s="7"/>
      <c r="H55" s="2">
        <f>SUM(H48:H54)</f>
        <v>88.35</v>
      </c>
      <c r="I55" s="2">
        <f>SUM(I48:I54)</f>
        <v>-11.650000000000006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477</v>
      </c>
      <c r="F56" s="7"/>
      <c r="H56" s="4">
        <v>35.630000000000003</v>
      </c>
      <c r="I56" s="1">
        <f>H56-C56</f>
        <v>35.630000000000003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477</v>
      </c>
      <c r="F57" s="7"/>
      <c r="H57" s="4">
        <v>-21.39</v>
      </c>
      <c r="I57" s="1">
        <f t="shared" ref="I57:I62" si="12">H57-C57</f>
        <v>-21.39</v>
      </c>
    </row>
    <row r="58" spans="1:9" x14ac:dyDescent="0.3">
      <c r="A58" s="41"/>
      <c r="B58" s="41" t="s">
        <v>32</v>
      </c>
      <c r="C58" s="4">
        <v>230</v>
      </c>
      <c r="D58" s="4">
        <v>0</v>
      </c>
      <c r="E58" s="6" t="s">
        <v>477</v>
      </c>
      <c r="F58" s="7"/>
      <c r="H58" s="4">
        <v>230.89</v>
      </c>
      <c r="I58" s="1">
        <f t="shared" si="12"/>
        <v>0.88999999999998636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477</v>
      </c>
      <c r="F59" s="7"/>
      <c r="H59" s="4">
        <v>12.3</v>
      </c>
      <c r="I59" s="1">
        <f t="shared" si="12"/>
        <v>12.3</v>
      </c>
    </row>
    <row r="60" spans="1:9" x14ac:dyDescent="0.3">
      <c r="A60" s="41"/>
      <c r="B60" s="41" t="s">
        <v>35</v>
      </c>
      <c r="C60" s="4">
        <v>100</v>
      </c>
      <c r="D60" s="4">
        <v>0</v>
      </c>
      <c r="E60" s="6" t="s">
        <v>477</v>
      </c>
      <c r="F60" s="7"/>
      <c r="H60" s="4">
        <v>88.86</v>
      </c>
      <c r="I60" s="1">
        <f t="shared" si="12"/>
        <v>-11.14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477</v>
      </c>
      <c r="F61" s="7"/>
      <c r="H61" s="4">
        <v>31.93</v>
      </c>
      <c r="I61" s="1">
        <f t="shared" si="12"/>
        <v>31.93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477</v>
      </c>
      <c r="F62" s="7"/>
      <c r="H62" s="4">
        <v>-45.18</v>
      </c>
      <c r="I62" s="1">
        <f t="shared" si="12"/>
        <v>-45.18</v>
      </c>
    </row>
    <row r="63" spans="1:9" x14ac:dyDescent="0.3">
      <c r="A63" s="41"/>
      <c r="B63" s="41" t="s">
        <v>29</v>
      </c>
      <c r="C63" s="2">
        <f>SUM(C56:C62)</f>
        <v>330</v>
      </c>
      <c r="D63" s="2">
        <f>SUM(D56:D62)</f>
        <v>0</v>
      </c>
      <c r="E63" s="6" t="s">
        <v>477</v>
      </c>
      <c r="F63" s="7"/>
      <c r="H63" s="2">
        <f>SUM(H56:H62)</f>
        <v>333.04</v>
      </c>
      <c r="I63" s="2">
        <f>SUM(I56:I62)</f>
        <v>3.0399999999999849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477</v>
      </c>
      <c r="F64" s="7"/>
      <c r="H64" s="4">
        <v>-111.16</v>
      </c>
      <c r="I64" s="1">
        <f t="shared" ref="I64:I70" si="13">H64-C64</f>
        <v>-111.16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477</v>
      </c>
      <c r="F65" s="7"/>
      <c r="H65" s="4">
        <v>-7.86</v>
      </c>
      <c r="I65" s="1">
        <f t="shared" si="13"/>
        <v>-7.86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477</v>
      </c>
      <c r="F66" s="7"/>
      <c r="H66" s="4">
        <v>85.6</v>
      </c>
      <c r="I66" s="1">
        <f t="shared" si="13"/>
        <v>85.6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477</v>
      </c>
      <c r="F67" s="7"/>
      <c r="H67" s="4">
        <v>114.77</v>
      </c>
      <c r="I67" s="1">
        <f t="shared" si="13"/>
        <v>114.77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475</v>
      </c>
      <c r="F68" s="7"/>
      <c r="H68" s="4">
        <v>118.89</v>
      </c>
      <c r="I68" s="1">
        <f t="shared" si="13"/>
        <v>118.89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477</v>
      </c>
      <c r="F69" s="7"/>
      <c r="H69" s="4">
        <v>-10.130000000000001</v>
      </c>
      <c r="I69" s="1">
        <f t="shared" si="13"/>
        <v>-10.130000000000001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477</v>
      </c>
      <c r="F70" s="7"/>
      <c r="H70" s="4">
        <v>-417.36</v>
      </c>
      <c r="I70" s="1">
        <f t="shared" si="13"/>
        <v>-417.36</v>
      </c>
    </row>
    <row r="71" spans="1:9" x14ac:dyDescent="0.3">
      <c r="A71" s="41"/>
      <c r="B71" s="41" t="s">
        <v>29</v>
      </c>
      <c r="C71" s="2">
        <f>SUM(C64:C70)</f>
        <v>0</v>
      </c>
      <c r="D71" s="2">
        <f>SUM(D64:D70)</f>
        <v>0</v>
      </c>
      <c r="E71" s="6"/>
      <c r="F71" s="7"/>
      <c r="H71" s="2">
        <f>SUM(H64:H70)</f>
        <v>-227.25</v>
      </c>
      <c r="I71" s="2">
        <f>SUM(I64:I70)</f>
        <v>-227.25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480</v>
      </c>
      <c r="F72" s="7"/>
      <c r="H72" s="4">
        <v>209.7</v>
      </c>
      <c r="I72" s="1">
        <f>H72-C72</f>
        <v>209.7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480</v>
      </c>
      <c r="F73" s="7"/>
      <c r="H73" s="4">
        <v>-50.25</v>
      </c>
      <c r="I73" s="1">
        <f t="shared" ref="I73:I78" si="14">H73-C73</f>
        <v>-50.25</v>
      </c>
    </row>
    <row r="74" spans="1:9" x14ac:dyDescent="0.3">
      <c r="A74" s="41"/>
      <c r="B74" s="41" t="s">
        <v>48</v>
      </c>
      <c r="C74" s="4">
        <v>142</v>
      </c>
      <c r="D74" s="4">
        <v>0</v>
      </c>
      <c r="E74" s="6" t="s">
        <v>480</v>
      </c>
      <c r="F74" s="7"/>
      <c r="H74" s="4">
        <v>192.05</v>
      </c>
      <c r="I74" s="1">
        <f t="shared" si="14"/>
        <v>50.050000000000011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475</v>
      </c>
      <c r="F75" s="7"/>
      <c r="H75" s="4">
        <v>-19.55</v>
      </c>
      <c r="I75" s="1">
        <f t="shared" si="14"/>
        <v>-19.55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475</v>
      </c>
      <c r="F76" s="7"/>
      <c r="H76" s="4">
        <v>10.57</v>
      </c>
      <c r="I76" s="1">
        <f t="shared" si="14"/>
        <v>10.57</v>
      </c>
    </row>
    <row r="77" spans="1:9" x14ac:dyDescent="0.3">
      <c r="A77" s="41"/>
      <c r="B77" s="41" t="s">
        <v>52</v>
      </c>
      <c r="C77" s="4">
        <v>0</v>
      </c>
      <c r="D77" s="4">
        <v>0</v>
      </c>
      <c r="E77" s="6" t="s">
        <v>477</v>
      </c>
      <c r="F77" s="7"/>
      <c r="H77" s="4">
        <v>17</v>
      </c>
      <c r="I77" s="1">
        <f t="shared" si="14"/>
        <v>17</v>
      </c>
    </row>
    <row r="78" spans="1:9" x14ac:dyDescent="0.3">
      <c r="A78" s="41"/>
      <c r="B78" s="41" t="s">
        <v>54</v>
      </c>
      <c r="C78" s="4">
        <v>2020</v>
      </c>
      <c r="D78" s="4">
        <v>0</v>
      </c>
      <c r="E78" s="6" t="s">
        <v>477</v>
      </c>
      <c r="F78" s="7"/>
      <c r="H78" s="4">
        <v>2020.26</v>
      </c>
      <c r="I78" s="1">
        <f t="shared" si="14"/>
        <v>0.25999999999999091</v>
      </c>
    </row>
    <row r="79" spans="1:9" x14ac:dyDescent="0.3">
      <c r="A79" s="41"/>
      <c r="B79" s="41" t="s">
        <v>11</v>
      </c>
      <c r="C79" s="2">
        <f>SUM(C72:C78)</f>
        <v>2162</v>
      </c>
      <c r="D79" s="2">
        <f>SUM(D72:D78)</f>
        <v>0</v>
      </c>
      <c r="E79" s="6" t="s">
        <v>475</v>
      </c>
      <c r="F79" s="7"/>
      <c r="H79" s="2">
        <f t="shared" ref="H79:I79" si="15">SUM(H72:H78)</f>
        <v>2379.7799999999997</v>
      </c>
      <c r="I79" s="2">
        <f t="shared" si="15"/>
        <v>217.77999999999997</v>
      </c>
    </row>
    <row r="80" spans="1:9" x14ac:dyDescent="0.3">
      <c r="A80" s="41"/>
      <c r="B80" s="41" t="s">
        <v>12</v>
      </c>
      <c r="C80" s="3">
        <f>SUM(C79+C71+C63+C55)</f>
        <v>2592</v>
      </c>
      <c r="D80" s="3">
        <f>SUM(D79+D71+D63+D55)</f>
        <v>5366</v>
      </c>
      <c r="E80" s="6" t="s">
        <v>477</v>
      </c>
      <c r="F80" s="7"/>
      <c r="H80" s="3">
        <f t="shared" ref="H80:I80" si="16">SUM(H79+H71+H63+H55)</f>
        <v>2573.9199999999996</v>
      </c>
      <c r="I80" s="3">
        <f t="shared" si="16"/>
        <v>-18.080000000000048</v>
      </c>
    </row>
    <row r="81" spans="1:9" x14ac:dyDescent="0.3">
      <c r="A81" s="41"/>
      <c r="B81" s="41" t="s">
        <v>13</v>
      </c>
      <c r="C81" s="3">
        <f>D80-C80</f>
        <v>2774</v>
      </c>
      <c r="E81" s="24" t="s">
        <v>477</v>
      </c>
      <c r="F81" s="25"/>
      <c r="H81" s="1">
        <f t="shared" ref="H81:I81" si="17">I80+H80</f>
        <v>2555.8399999999997</v>
      </c>
      <c r="I81" s="1">
        <f t="shared" si="17"/>
        <v>-18.080000000000048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2774</v>
      </c>
      <c r="D83" s="41"/>
      <c r="E83" s="43" t="s">
        <v>477</v>
      </c>
      <c r="F83" s="50" t="s">
        <v>481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120</v>
      </c>
      <c r="D92" s="4">
        <v>2774</v>
      </c>
      <c r="E92" s="6" t="s">
        <v>477</v>
      </c>
      <c r="F92" s="7" t="s">
        <v>482</v>
      </c>
      <c r="H92" s="4">
        <v>117.78</v>
      </c>
      <c r="I92" s="1">
        <f>H92-C92</f>
        <v>-2.2199999999999989</v>
      </c>
    </row>
    <row r="93" spans="1:9" x14ac:dyDescent="0.3">
      <c r="A93" s="41"/>
      <c r="B93" s="41" t="s">
        <v>60</v>
      </c>
      <c r="C93" s="4">
        <v>100</v>
      </c>
      <c r="D93" s="4">
        <v>0</v>
      </c>
      <c r="E93" s="6" t="s">
        <v>477</v>
      </c>
      <c r="F93" s="7" t="s">
        <v>483</v>
      </c>
      <c r="H93" s="4">
        <v>99.76</v>
      </c>
      <c r="I93" s="1">
        <f t="shared" ref="I93:I98" si="18">H93-C93</f>
        <v>-0.23999999999999488</v>
      </c>
    </row>
    <row r="94" spans="1:9" x14ac:dyDescent="0.3">
      <c r="A94" s="41"/>
      <c r="B94" s="41" t="s">
        <v>61</v>
      </c>
      <c r="C94" s="4">
        <v>120</v>
      </c>
      <c r="D94" s="4">
        <v>0</v>
      </c>
      <c r="E94" s="6" t="s">
        <v>484</v>
      </c>
      <c r="F94" s="7"/>
      <c r="H94" s="4">
        <v>116.87</v>
      </c>
      <c r="I94" s="1">
        <f t="shared" si="18"/>
        <v>-3.1299999999999955</v>
      </c>
    </row>
    <row r="95" spans="1:9" x14ac:dyDescent="0.3">
      <c r="A95" s="41"/>
      <c r="B95" s="41" t="s">
        <v>63</v>
      </c>
      <c r="C95" s="4">
        <v>80</v>
      </c>
      <c r="D95" s="4">
        <v>0</v>
      </c>
      <c r="E95" s="6" t="s">
        <v>477</v>
      </c>
      <c r="F95" s="7"/>
      <c r="H95" s="4">
        <v>76.489999999999995</v>
      </c>
      <c r="I95" s="1">
        <f t="shared" si="18"/>
        <v>-3.5100000000000051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485</v>
      </c>
      <c r="F96" s="7"/>
      <c r="H96" s="4">
        <v>2.42</v>
      </c>
      <c r="I96" s="1">
        <f t="shared" si="18"/>
        <v>2.42</v>
      </c>
    </row>
    <row r="97" spans="1:9" x14ac:dyDescent="0.3">
      <c r="A97" s="41"/>
      <c r="B97" s="41" t="s">
        <v>65</v>
      </c>
      <c r="C97" s="4">
        <v>0</v>
      </c>
      <c r="D97" s="4">
        <v>0</v>
      </c>
      <c r="E97" s="6" t="s">
        <v>477</v>
      </c>
      <c r="F97" s="7"/>
      <c r="H97" s="4">
        <v>67.709999999999994</v>
      </c>
      <c r="I97" s="1">
        <f t="shared" si="18"/>
        <v>67.709999999999994</v>
      </c>
    </row>
    <row r="98" spans="1:9" x14ac:dyDescent="0.3">
      <c r="A98" s="41"/>
      <c r="B98" s="41" t="s">
        <v>66</v>
      </c>
      <c r="C98" s="4">
        <v>100</v>
      </c>
      <c r="D98" s="4">
        <v>0</v>
      </c>
      <c r="E98" s="6" t="s">
        <v>477</v>
      </c>
      <c r="F98" s="7"/>
      <c r="H98" s="4">
        <v>33.72</v>
      </c>
      <c r="I98" s="1">
        <f t="shared" si="18"/>
        <v>-66.28</v>
      </c>
    </row>
    <row r="99" spans="1:9" x14ac:dyDescent="0.3">
      <c r="A99" s="41"/>
      <c r="B99" s="41" t="s">
        <v>29</v>
      </c>
      <c r="C99" s="2">
        <f>SUM(C92:C98)</f>
        <v>520</v>
      </c>
      <c r="D99" s="2">
        <f>SUM(D92:D98)</f>
        <v>2774</v>
      </c>
      <c r="E99" s="6"/>
      <c r="F99" s="7"/>
      <c r="H99" s="2">
        <f>SUM(H92:H98)</f>
        <v>514.75</v>
      </c>
      <c r="I99" s="2">
        <f>SUM(I92:I98)</f>
        <v>-5.25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"/>
      <c r="F100" s="7"/>
      <c r="H100" s="4">
        <v>0</v>
      </c>
      <c r="I100" s="1">
        <f>H100-C100</f>
        <v>0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19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19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19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9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9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9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0</v>
      </c>
      <c r="I107" s="2">
        <f>SUM(I100:I106)</f>
        <v>0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0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0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0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0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0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0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1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1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1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1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1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21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2">SUM(H116:H122)</f>
        <v>0</v>
      </c>
      <c r="I123" s="2">
        <f t="shared" si="22"/>
        <v>0</v>
      </c>
    </row>
    <row r="124" spans="1:9" x14ac:dyDescent="0.3">
      <c r="A124" s="41"/>
      <c r="B124" s="41" t="s">
        <v>12</v>
      </c>
      <c r="C124" s="3">
        <f>SUM(C123+C115+C107+C99)</f>
        <v>520</v>
      </c>
      <c r="D124" s="3">
        <f>SUM(D123+D115+D107+D99)</f>
        <v>2774</v>
      </c>
      <c r="E124" s="6"/>
      <c r="F124" s="7"/>
      <c r="H124" s="3">
        <f t="shared" ref="H124:I124" si="23">SUM(H123+H115+H107+H99)</f>
        <v>514.75</v>
      </c>
      <c r="I124" s="3">
        <f t="shared" si="23"/>
        <v>-5.25</v>
      </c>
    </row>
    <row r="125" spans="1:9" x14ac:dyDescent="0.3">
      <c r="A125" s="41"/>
      <c r="B125" s="41" t="s">
        <v>13</v>
      </c>
      <c r="C125" s="1">
        <f>D124-C124</f>
        <v>2254</v>
      </c>
      <c r="E125" s="24"/>
      <c r="F125" s="25"/>
      <c r="H125" s="1">
        <f t="shared" ref="H125:I125" si="24">I124+H124</f>
        <v>509.5</v>
      </c>
      <c r="I125" s="1">
        <f t="shared" si="24"/>
        <v>-5.25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>
        <v>2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>
        <v>200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>
        <v>300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5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5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5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5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5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5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6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6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6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6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6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6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7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7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7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7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7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7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8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8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8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8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8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8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9">SUM(H160:H166)</f>
        <v>0</v>
      </c>
      <c r="I167" s="2">
        <f t="shared" si="29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0">SUM(H167+H159+H151+H143)</f>
        <v>0</v>
      </c>
      <c r="I168" s="3">
        <f t="shared" si="30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1">I168+H168</f>
        <v>0</v>
      </c>
      <c r="I169" s="1">
        <f t="shared" si="31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2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2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2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2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2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2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3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3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3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3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3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3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4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4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4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4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4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4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5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5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5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5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5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5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6">SUM(H204:H210)</f>
        <v>0</v>
      </c>
      <c r="I211" s="2">
        <f t="shared" si="36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7">SUM(H211+H203+H195+H187)</f>
        <v>0</v>
      </c>
      <c r="I212" s="3">
        <f t="shared" si="37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8">I212+H212</f>
        <v>0</v>
      </c>
      <c r="I213" s="1">
        <f t="shared" si="38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0F3EE4-9E75-4F2D-BDE1-F178E584A566}">
  <sheetPr codeName="Sheet20"/>
  <dimension ref="A1:L223"/>
  <sheetViews>
    <sheetView showGridLines="0" workbookViewId="0">
      <pane xSplit="2" ySplit="3" topLeftCell="C86" activePane="bottomRight" state="frozen"/>
      <selection pane="topRight" activeCell="C23" sqref="C23"/>
      <selection pane="bottomLeft" activeCell="C23" sqref="C23"/>
      <selection pane="bottomRight" activeCell="H94" sqref="H94"/>
    </sheetView>
  </sheetViews>
  <sheetFormatPr defaultColWidth="8.88671875" defaultRowHeight="14.4" x14ac:dyDescent="0.3"/>
  <cols>
    <col min="1" max="1" width="0.88671875" customWidth="1"/>
    <col min="2" max="2" width="21.44140625" style="16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486</v>
      </c>
      <c r="D1" s="14"/>
    </row>
    <row r="2" spans="2:9" x14ac:dyDescent="0.3">
      <c r="C2" s="5"/>
      <c r="D2" s="5"/>
    </row>
    <row r="3" spans="2:9" ht="86.4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675</v>
      </c>
      <c r="D5" s="4">
        <v>0</v>
      </c>
      <c r="E5" s="6"/>
      <c r="F5" s="7"/>
      <c r="H5" s="4"/>
      <c r="I5" s="1">
        <f t="shared" ref="I5:I10" si="0">H5-C5</f>
        <v>-675</v>
      </c>
    </row>
    <row r="6" spans="2:9" x14ac:dyDescent="0.3">
      <c r="B6" s="20">
        <f t="shared" ref="B6:B10" si="1">B5+1</f>
        <v>46245</v>
      </c>
      <c r="C6" s="4">
        <v>0</v>
      </c>
      <c r="D6" s="4">
        <v>580</v>
      </c>
      <c r="E6" s="6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/>
      <c r="I7" s="1">
        <f t="shared" si="0"/>
        <v>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/>
      <c r="I9" s="1">
        <f t="shared" si="0"/>
        <v>0</v>
      </c>
    </row>
    <row r="10" spans="2:9" ht="15" thickBot="1" x14ac:dyDescent="0.35">
      <c r="B10" s="20">
        <f t="shared" si="1"/>
        <v>46249</v>
      </c>
      <c r="C10" s="4">
        <v>0</v>
      </c>
      <c r="D10" s="4">
        <v>0</v>
      </c>
      <c r="E10" s="6"/>
      <c r="F10" s="7"/>
      <c r="H10" s="4"/>
      <c r="I10" s="1">
        <f t="shared" si="0"/>
        <v>0</v>
      </c>
    </row>
    <row r="11" spans="2:9" x14ac:dyDescent="0.3">
      <c r="B11" s="21" t="s">
        <v>11</v>
      </c>
      <c r="C11" s="2">
        <f>SUM(C4:C10)</f>
        <v>675</v>
      </c>
      <c r="D11" s="2">
        <f>SUM(D4:D10)</f>
        <v>580</v>
      </c>
      <c r="E11" s="6"/>
      <c r="F11" s="7"/>
      <c r="H11" s="2">
        <f>SUM(H4:H10)</f>
        <v>0</v>
      </c>
      <c r="I11" s="2">
        <f>SUM(I4:I10)</f>
        <v>-675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600</v>
      </c>
      <c r="E15" s="6"/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580</v>
      </c>
      <c r="D16" s="4">
        <v>0</v>
      </c>
      <c r="E16" s="6"/>
      <c r="F16" s="7"/>
      <c r="H16" s="4"/>
      <c r="I16" s="1">
        <f t="shared" si="2"/>
        <v>-580</v>
      </c>
    </row>
    <row r="17" spans="2:9" x14ac:dyDescent="0.3">
      <c r="B17" s="20">
        <f t="shared" si="3"/>
        <v>46255</v>
      </c>
      <c r="C17" s="4">
        <v>450</v>
      </c>
      <c r="D17" s="4">
        <v>0</v>
      </c>
      <c r="E17" s="6"/>
      <c r="F17" s="7"/>
      <c r="H17" s="4"/>
      <c r="I17" s="1">
        <f t="shared" si="2"/>
        <v>-450</v>
      </c>
    </row>
    <row r="18" spans="2:9" ht="15" thickBot="1" x14ac:dyDescent="0.35">
      <c r="B18" s="20">
        <f t="shared" si="3"/>
        <v>46256</v>
      </c>
      <c r="C18" s="4">
        <v>0</v>
      </c>
      <c r="D18" s="4">
        <v>705</v>
      </c>
      <c r="E18" s="6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1030</v>
      </c>
      <c r="D19" s="2">
        <f>SUM(D12:D18)</f>
        <v>1305</v>
      </c>
      <c r="E19" s="6"/>
      <c r="F19" s="7"/>
      <c r="H19" s="2">
        <f>SUM(H12:H18)</f>
        <v>0</v>
      </c>
      <c r="I19" s="2">
        <f>SUM(I12:I18)</f>
        <v>-1030</v>
      </c>
    </row>
    <row r="20" spans="2:9" x14ac:dyDescent="0.3">
      <c r="B20" s="20">
        <f>B18+1</f>
        <v>46257</v>
      </c>
      <c r="C20" s="4">
        <v>150</v>
      </c>
      <c r="D20" s="4">
        <v>0</v>
      </c>
      <c r="E20" s="6"/>
      <c r="F20" s="7"/>
      <c r="H20" s="4"/>
      <c r="I20" s="1">
        <f>H20-C20</f>
        <v>-150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/>
      <c r="F21" s="7"/>
      <c r="H21" s="4">
        <v>6</v>
      </c>
      <c r="I21" s="1">
        <v>6.08</v>
      </c>
    </row>
    <row r="22" spans="2:9" x14ac:dyDescent="0.3">
      <c r="B22" s="20">
        <f t="shared" ref="B22:B26" si="4">B21+1</f>
        <v>46259</v>
      </c>
      <c r="C22" s="4">
        <v>0</v>
      </c>
      <c r="D22" s="4">
        <v>0</v>
      </c>
      <c r="E22" s="6"/>
      <c r="F22" s="7"/>
      <c r="H22" s="4">
        <v>-4</v>
      </c>
      <c r="I22" s="1">
        <v>-4.32</v>
      </c>
    </row>
    <row r="23" spans="2:9" x14ac:dyDescent="0.3">
      <c r="B23" s="20">
        <f t="shared" si="4"/>
        <v>46260</v>
      </c>
      <c r="C23" s="4">
        <v>0</v>
      </c>
      <c r="D23" s="4">
        <v>0</v>
      </c>
      <c r="E23" s="6"/>
      <c r="F23" s="7"/>
      <c r="H23" s="4">
        <v>-5</v>
      </c>
      <c r="I23" s="1">
        <v>-5.0599999999999996</v>
      </c>
    </row>
    <row r="24" spans="2:9" x14ac:dyDescent="0.3">
      <c r="B24" s="20">
        <f t="shared" si="4"/>
        <v>46261</v>
      </c>
      <c r="C24" s="4">
        <v>0</v>
      </c>
      <c r="D24" s="4">
        <v>0</v>
      </c>
      <c r="E24" s="6"/>
      <c r="F24" s="7"/>
      <c r="H24" s="4">
        <v>15</v>
      </c>
      <c r="I24" s="1">
        <v>15.462999999999999</v>
      </c>
    </row>
    <row r="25" spans="2:9" x14ac:dyDescent="0.3">
      <c r="B25" s="20">
        <f t="shared" si="4"/>
        <v>46262</v>
      </c>
      <c r="C25" s="4">
        <v>0</v>
      </c>
      <c r="D25" s="4">
        <v>0</v>
      </c>
      <c r="E25" s="6"/>
      <c r="F25" s="7"/>
      <c r="H25" s="4">
        <v>7</v>
      </c>
      <c r="I25" s="1">
        <f>7.26</f>
        <v>7.26</v>
      </c>
    </row>
    <row r="26" spans="2:9" ht="15" thickBot="1" x14ac:dyDescent="0.35">
      <c r="B26" s="20">
        <f t="shared" si="4"/>
        <v>46263</v>
      </c>
      <c r="C26" s="4">
        <v>0</v>
      </c>
      <c r="D26" s="4">
        <v>0</v>
      </c>
      <c r="E26" s="6" t="s">
        <v>487</v>
      </c>
      <c r="F26" s="7"/>
      <c r="H26" s="4">
        <v>-27</v>
      </c>
      <c r="I26" s="1">
        <v>-27</v>
      </c>
    </row>
    <row r="27" spans="2:9" x14ac:dyDescent="0.3">
      <c r="B27" s="21" t="s">
        <v>11</v>
      </c>
      <c r="C27" s="2">
        <f>SUM(C20:C26)</f>
        <v>150</v>
      </c>
      <c r="D27" s="2">
        <f>SUM(D20:D26)</f>
        <v>0</v>
      </c>
      <c r="E27" s="6" t="s">
        <v>487</v>
      </c>
      <c r="F27" s="7"/>
      <c r="H27" s="2">
        <f>SUM(H20:H26)</f>
        <v>-8</v>
      </c>
      <c r="I27" s="2">
        <f>SUM(I20:I26)</f>
        <v>-157.577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 t="s">
        <v>487</v>
      </c>
      <c r="F28" s="7"/>
      <c r="H28" s="4">
        <v>-16</v>
      </c>
      <c r="I28" s="1">
        <v>-15.99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 t="s">
        <v>487</v>
      </c>
      <c r="F29" s="7"/>
      <c r="H29" s="4">
        <v>-3</v>
      </c>
      <c r="I29" s="1">
        <v>-2.7</v>
      </c>
    </row>
    <row r="30" spans="2:9" x14ac:dyDescent="0.3">
      <c r="B30" s="20">
        <f t="shared" ref="B30:B33" si="5">B29+1</f>
        <v>46266</v>
      </c>
      <c r="C30" s="4">
        <v>0</v>
      </c>
      <c r="D30" s="4">
        <v>800</v>
      </c>
      <c r="E30" s="6" t="s">
        <v>487</v>
      </c>
      <c r="F30" s="7"/>
      <c r="H30" s="4">
        <v>-9</v>
      </c>
      <c r="I30" s="1">
        <v>-9</v>
      </c>
    </row>
    <row r="31" spans="2:9" x14ac:dyDescent="0.3">
      <c r="B31" s="20">
        <f t="shared" si="5"/>
        <v>46267</v>
      </c>
      <c r="C31" s="4">
        <v>705</v>
      </c>
      <c r="D31" s="4">
        <v>0</v>
      </c>
      <c r="E31" s="6" t="s">
        <v>487</v>
      </c>
      <c r="F31" s="7"/>
      <c r="H31" s="4">
        <v>9</v>
      </c>
      <c r="I31" s="1">
        <f t="shared" ref="I31:I35" si="6">H31-C31</f>
        <v>-696</v>
      </c>
    </row>
    <row r="32" spans="2:9" x14ac:dyDescent="0.3">
      <c r="B32" s="20">
        <f t="shared" si="5"/>
        <v>46268</v>
      </c>
      <c r="C32" s="4">
        <v>0</v>
      </c>
      <c r="D32" s="4">
        <v>0</v>
      </c>
      <c r="E32" s="6" t="s">
        <v>487</v>
      </c>
      <c r="F32" s="7"/>
      <c r="H32" s="4">
        <v>-13</v>
      </c>
      <c r="I32" s="1">
        <v>-12.94</v>
      </c>
    </row>
    <row r="33" spans="1:9" x14ac:dyDescent="0.3">
      <c r="B33" s="20">
        <f t="shared" si="5"/>
        <v>46269</v>
      </c>
      <c r="C33" s="4">
        <v>0</v>
      </c>
      <c r="D33" s="4">
        <v>0</v>
      </c>
      <c r="E33" s="6" t="s">
        <v>487</v>
      </c>
      <c r="F33" s="7"/>
      <c r="H33" s="4">
        <v>-24</v>
      </c>
      <c r="I33" s="1">
        <v>-23.99</v>
      </c>
    </row>
    <row r="34" spans="1:9" x14ac:dyDescent="0.3">
      <c r="B34" s="20"/>
      <c r="C34" s="4"/>
      <c r="D34" s="4"/>
      <c r="E34" s="6"/>
      <c r="F34" s="7"/>
      <c r="H34" s="4">
        <v>25</v>
      </c>
      <c r="I34" s="1">
        <v>24.99</v>
      </c>
    </row>
    <row r="35" spans="1:9" ht="15" thickBot="1" x14ac:dyDescent="0.35">
      <c r="B35" s="20">
        <f>B33+1</f>
        <v>46270</v>
      </c>
      <c r="C35" s="4">
        <v>0</v>
      </c>
      <c r="D35" s="4">
        <v>0</v>
      </c>
      <c r="E35" s="6" t="s">
        <v>487</v>
      </c>
      <c r="F35" s="7"/>
      <c r="H35" s="4">
        <v>-24</v>
      </c>
      <c r="I35" s="1">
        <f t="shared" si="6"/>
        <v>-24</v>
      </c>
    </row>
    <row r="36" spans="1:9" x14ac:dyDescent="0.3">
      <c r="B36" s="19" t="s">
        <v>11</v>
      </c>
      <c r="C36" s="2">
        <f>SUM(C28:C35)</f>
        <v>705</v>
      </c>
      <c r="D36" s="2">
        <f>SUM(D28:D35)</f>
        <v>800</v>
      </c>
      <c r="E36" s="6"/>
      <c r="F36" s="7"/>
      <c r="H36" s="2">
        <f t="shared" ref="H36:I36" si="7">SUM(H28:H35)</f>
        <v>-55</v>
      </c>
      <c r="I36" s="2">
        <f t="shared" si="7"/>
        <v>-759.63000000000011</v>
      </c>
    </row>
    <row r="37" spans="1:9" x14ac:dyDescent="0.3">
      <c r="B37" s="19" t="s">
        <v>12</v>
      </c>
      <c r="C37" s="3">
        <f>SUM(C36+C27+C19+C11)</f>
        <v>2560</v>
      </c>
      <c r="D37" s="3">
        <f>SUM(D36+D27+D19+D11)</f>
        <v>2685</v>
      </c>
      <c r="E37" s="6"/>
      <c r="F37" s="7"/>
      <c r="H37" s="3">
        <f t="shared" ref="H37:I37" si="8">SUM(H36+H27+H19+H11)</f>
        <v>-63</v>
      </c>
      <c r="I37" s="3">
        <f t="shared" si="8"/>
        <v>-2622.2070000000003</v>
      </c>
    </row>
    <row r="38" spans="1:9" ht="15" thickBot="1" x14ac:dyDescent="0.35">
      <c r="B38" s="19" t="s">
        <v>13</v>
      </c>
      <c r="C38" s="1">
        <f>D37+C37</f>
        <v>5245</v>
      </c>
      <c r="E38" s="24"/>
      <c r="F38" s="25"/>
      <c r="H38" s="1">
        <f t="shared" ref="H38:I38" si="9">I37+H37</f>
        <v>-2685.2070000000003</v>
      </c>
      <c r="I38" s="1">
        <f t="shared" si="9"/>
        <v>-2622.2070000000003</v>
      </c>
    </row>
    <row r="39" spans="1:9" ht="15" thickTop="1" x14ac:dyDescent="0.3">
      <c r="B39" s="26"/>
      <c r="C39" s="36">
        <f>B35+1</f>
        <v>46271</v>
      </c>
      <c r="D39" s="37" t="s">
        <v>14</v>
      </c>
      <c r="E39" s="27"/>
      <c r="F39" s="28"/>
    </row>
    <row r="40" spans="1:9" x14ac:dyDescent="0.3">
      <c r="B40" s="29" t="s">
        <v>15</v>
      </c>
      <c r="C40" s="38">
        <v>800</v>
      </c>
      <c r="E40" s="6" t="s">
        <v>488</v>
      </c>
      <c r="F40" s="30"/>
    </row>
    <row r="41" spans="1:9" x14ac:dyDescent="0.3">
      <c r="B41" s="31"/>
      <c r="F41" s="32"/>
    </row>
    <row r="42" spans="1:9" x14ac:dyDescent="0.3">
      <c r="B42" s="29" t="s">
        <v>16</v>
      </c>
      <c r="C42" s="40">
        <v>2</v>
      </c>
      <c r="F42" s="32"/>
    </row>
    <row r="43" spans="1:9" x14ac:dyDescent="0.3">
      <c r="B43" s="29"/>
      <c r="F43" s="32"/>
    </row>
    <row r="44" spans="1:9" x14ac:dyDescent="0.3">
      <c r="B44" s="29" t="s">
        <v>17</v>
      </c>
      <c r="C44" s="38">
        <v>200</v>
      </c>
      <c r="F44" s="32"/>
    </row>
    <row r="45" spans="1:9" x14ac:dyDescent="0.3">
      <c r="B45" s="29"/>
      <c r="F45" s="32"/>
    </row>
    <row r="46" spans="1:9" ht="15" thickBot="1" x14ac:dyDescent="0.35">
      <c r="B46" s="33" t="s">
        <v>18</v>
      </c>
      <c r="C46" s="39">
        <v>300</v>
      </c>
      <c r="D46" s="34"/>
      <c r="E46" s="34"/>
      <c r="F46" s="35"/>
    </row>
    <row r="48" spans="1:9" x14ac:dyDescent="0.3">
      <c r="A48" s="41"/>
      <c r="B48" s="42" t="s">
        <v>19</v>
      </c>
      <c r="C48" s="41"/>
      <c r="D48" s="41"/>
      <c r="E48" s="41"/>
      <c r="F48" s="41"/>
      <c r="G48" s="41"/>
      <c r="H48" s="41"/>
      <c r="I48" s="41"/>
    </row>
    <row r="49" spans="1:9" x14ac:dyDescent="0.3">
      <c r="A49" s="41"/>
      <c r="B49" s="41" t="s">
        <v>20</v>
      </c>
      <c r="C49" s="4">
        <v>0</v>
      </c>
      <c r="D49" s="4">
        <v>0</v>
      </c>
      <c r="E49" s="6" t="s">
        <v>487</v>
      </c>
      <c r="F49" s="7"/>
      <c r="H49" s="4">
        <v>2</v>
      </c>
      <c r="I49" s="1">
        <f>H49-C49</f>
        <v>2</v>
      </c>
    </row>
    <row r="50" spans="1:9" x14ac:dyDescent="0.3">
      <c r="A50" s="41"/>
      <c r="B50" s="41" t="s">
        <v>22</v>
      </c>
      <c r="C50" s="4">
        <v>0</v>
      </c>
      <c r="D50" s="4">
        <v>0</v>
      </c>
      <c r="E50" s="6" t="s">
        <v>487</v>
      </c>
      <c r="F50" s="7"/>
      <c r="H50" s="4">
        <v>-12</v>
      </c>
      <c r="I50" s="1">
        <f t="shared" ref="I50:I53" si="10">H50-C50</f>
        <v>-12</v>
      </c>
    </row>
    <row r="51" spans="1:9" x14ac:dyDescent="0.3">
      <c r="A51" s="41"/>
      <c r="B51" s="41" t="s">
        <v>23</v>
      </c>
      <c r="C51" s="4">
        <v>0</v>
      </c>
      <c r="D51" s="4">
        <v>0</v>
      </c>
      <c r="E51" s="6" t="s">
        <v>487</v>
      </c>
      <c r="F51" s="7"/>
      <c r="H51" s="4">
        <v>1</v>
      </c>
      <c r="I51" s="1">
        <f t="shared" si="10"/>
        <v>1</v>
      </c>
    </row>
    <row r="52" spans="1:9" x14ac:dyDescent="0.3">
      <c r="A52" s="41"/>
      <c r="B52" s="41" t="s">
        <v>24</v>
      </c>
      <c r="C52" s="4">
        <v>0</v>
      </c>
      <c r="D52" s="4">
        <v>400</v>
      </c>
      <c r="E52" s="6" t="s">
        <v>489</v>
      </c>
      <c r="F52" s="7" t="s">
        <v>490</v>
      </c>
      <c r="H52" s="4">
        <v>7</v>
      </c>
      <c r="I52" s="1">
        <f t="shared" si="10"/>
        <v>7</v>
      </c>
    </row>
    <row r="53" spans="1:9" x14ac:dyDescent="0.3">
      <c r="A53" s="41"/>
      <c r="B53" s="41" t="s">
        <v>25</v>
      </c>
      <c r="C53" s="4">
        <v>800</v>
      </c>
      <c r="D53" s="4">
        <v>0</v>
      </c>
      <c r="E53" s="6" t="s">
        <v>489</v>
      </c>
      <c r="F53" s="7" t="s">
        <v>491</v>
      </c>
      <c r="H53" s="4">
        <v>805</v>
      </c>
      <c r="I53" s="1">
        <f t="shared" si="10"/>
        <v>5</v>
      </c>
    </row>
    <row r="54" spans="1:9" x14ac:dyDescent="0.3">
      <c r="A54" s="41"/>
      <c r="B54" s="41" t="s">
        <v>26</v>
      </c>
      <c r="C54" s="4">
        <v>0</v>
      </c>
      <c r="D54" s="4">
        <v>0</v>
      </c>
      <c r="E54" s="6" t="s">
        <v>489</v>
      </c>
      <c r="F54" s="7"/>
      <c r="H54" s="4">
        <v>3</v>
      </c>
      <c r="I54" s="1">
        <f>H54-C54</f>
        <v>3</v>
      </c>
    </row>
    <row r="55" spans="1:9" x14ac:dyDescent="0.3">
      <c r="A55" s="41"/>
      <c r="B55" s="41" t="s">
        <v>27</v>
      </c>
      <c r="C55" s="4">
        <v>0</v>
      </c>
      <c r="D55" s="4">
        <v>0</v>
      </c>
      <c r="E55" s="6" t="s">
        <v>489</v>
      </c>
      <c r="F55" s="7"/>
      <c r="H55" s="4">
        <v>2</v>
      </c>
      <c r="I55" s="1">
        <f>H55-C55</f>
        <v>2</v>
      </c>
    </row>
    <row r="56" spans="1:9" x14ac:dyDescent="0.3">
      <c r="A56" s="41"/>
      <c r="B56" s="41" t="s">
        <v>29</v>
      </c>
      <c r="C56" s="2">
        <f>SUM(C49:C55)</f>
        <v>800</v>
      </c>
      <c r="D56" s="2">
        <f>SUM(D49:D55)</f>
        <v>400</v>
      </c>
      <c r="E56" s="6"/>
      <c r="F56" s="7"/>
      <c r="H56" s="2">
        <f>SUM(H49:H55)</f>
        <v>808</v>
      </c>
      <c r="I56" s="2">
        <f>SUM(I49:I55)</f>
        <v>8</v>
      </c>
    </row>
    <row r="57" spans="1:9" x14ac:dyDescent="0.3">
      <c r="A57" s="41"/>
      <c r="B57" s="41" t="s">
        <v>30</v>
      </c>
      <c r="C57" s="4">
        <v>0</v>
      </c>
      <c r="D57" s="4">
        <v>0</v>
      </c>
      <c r="E57" s="6" t="s">
        <v>487</v>
      </c>
      <c r="F57" s="7"/>
      <c r="H57" s="4">
        <v>-14</v>
      </c>
      <c r="I57" s="1">
        <f>H57-C57</f>
        <v>-14</v>
      </c>
    </row>
    <row r="58" spans="1:9" x14ac:dyDescent="0.3">
      <c r="A58" s="41"/>
      <c r="B58" s="41" t="s">
        <v>31</v>
      </c>
      <c r="C58" s="4">
        <v>0</v>
      </c>
      <c r="D58" s="4">
        <v>0</v>
      </c>
      <c r="E58" s="6" t="s">
        <v>487</v>
      </c>
      <c r="F58" s="7"/>
      <c r="H58" s="4">
        <v>-18</v>
      </c>
      <c r="I58" s="1">
        <f t="shared" ref="I58:I63" si="11">H58-C58</f>
        <v>-18</v>
      </c>
    </row>
    <row r="59" spans="1:9" x14ac:dyDescent="0.3">
      <c r="A59" s="41"/>
      <c r="B59" s="41" t="s">
        <v>32</v>
      </c>
      <c r="C59" s="4">
        <v>0</v>
      </c>
      <c r="D59" s="4">
        <v>700</v>
      </c>
      <c r="E59" s="6" t="s">
        <v>487</v>
      </c>
      <c r="F59" s="77" t="s">
        <v>492</v>
      </c>
      <c r="H59" s="4">
        <v>96</v>
      </c>
      <c r="I59" s="1">
        <f t="shared" si="11"/>
        <v>96</v>
      </c>
    </row>
    <row r="60" spans="1:9" x14ac:dyDescent="0.3">
      <c r="A60" s="41"/>
      <c r="B60" s="41" t="s">
        <v>34</v>
      </c>
      <c r="C60" s="4">
        <v>400</v>
      </c>
      <c r="D60" s="4">
        <v>0</v>
      </c>
      <c r="E60" s="6" t="s">
        <v>489</v>
      </c>
      <c r="F60" s="7" t="s">
        <v>493</v>
      </c>
      <c r="H60" s="4">
        <v>305</v>
      </c>
      <c r="I60" s="1">
        <f t="shared" si="11"/>
        <v>-95</v>
      </c>
    </row>
    <row r="61" spans="1:9" x14ac:dyDescent="0.3">
      <c r="A61" s="41"/>
      <c r="B61" s="41" t="s">
        <v>35</v>
      </c>
      <c r="C61" s="4">
        <v>0</v>
      </c>
      <c r="D61" s="4">
        <v>0</v>
      </c>
      <c r="E61" s="6" t="s">
        <v>489</v>
      </c>
      <c r="F61" s="7"/>
      <c r="H61" s="4">
        <v>-8</v>
      </c>
      <c r="I61" s="1">
        <f t="shared" si="11"/>
        <v>-8</v>
      </c>
    </row>
    <row r="62" spans="1:9" x14ac:dyDescent="0.3">
      <c r="A62" s="41"/>
      <c r="B62" s="41" t="s">
        <v>36</v>
      </c>
      <c r="C62" s="4">
        <v>0</v>
      </c>
      <c r="D62" s="4">
        <v>0</v>
      </c>
      <c r="E62" s="6" t="s">
        <v>489</v>
      </c>
      <c r="F62" s="7"/>
      <c r="H62" s="4">
        <v>-13</v>
      </c>
      <c r="I62" s="1">
        <f t="shared" si="11"/>
        <v>-13</v>
      </c>
    </row>
    <row r="63" spans="1:9" x14ac:dyDescent="0.3">
      <c r="A63" s="41"/>
      <c r="B63" s="41" t="s">
        <v>37</v>
      </c>
      <c r="C63" s="4">
        <v>0</v>
      </c>
      <c r="D63" s="4">
        <v>0</v>
      </c>
      <c r="E63" s="6" t="s">
        <v>489</v>
      </c>
      <c r="F63" s="7" t="s">
        <v>494</v>
      </c>
      <c r="H63" s="4">
        <v>35</v>
      </c>
      <c r="I63" s="1">
        <f t="shared" si="11"/>
        <v>35</v>
      </c>
    </row>
    <row r="64" spans="1:9" x14ac:dyDescent="0.3">
      <c r="A64" s="41"/>
      <c r="B64" s="41" t="s">
        <v>29</v>
      </c>
      <c r="C64" s="2">
        <f>SUM(C57:C63)</f>
        <v>400</v>
      </c>
      <c r="D64" s="2">
        <f>SUM(D57:D63)</f>
        <v>700</v>
      </c>
      <c r="E64" s="6"/>
      <c r="F64" s="7"/>
      <c r="H64" s="2">
        <f>SUM(H57:H63)</f>
        <v>383</v>
      </c>
      <c r="I64" s="2">
        <f>SUM(I57:I63)</f>
        <v>-17</v>
      </c>
    </row>
    <row r="65" spans="1:9" x14ac:dyDescent="0.3">
      <c r="A65" s="41"/>
      <c r="B65" s="41" t="s">
        <v>38</v>
      </c>
      <c r="C65" s="4">
        <v>0</v>
      </c>
      <c r="D65" s="4">
        <v>0</v>
      </c>
      <c r="E65" s="6" t="s">
        <v>489</v>
      </c>
      <c r="F65" s="7" t="s">
        <v>495</v>
      </c>
      <c r="H65" s="4">
        <v>-37</v>
      </c>
      <c r="I65" s="1">
        <f>H65-C65</f>
        <v>-37</v>
      </c>
    </row>
    <row r="66" spans="1:9" x14ac:dyDescent="0.3">
      <c r="A66" s="41"/>
      <c r="B66" s="41" t="s">
        <v>39</v>
      </c>
      <c r="C66" s="4">
        <v>0</v>
      </c>
      <c r="D66" s="4">
        <v>0</v>
      </c>
      <c r="E66" s="6" t="s">
        <v>448</v>
      </c>
      <c r="F66" s="7"/>
      <c r="H66" s="4">
        <v>3</v>
      </c>
      <c r="I66" s="1">
        <f t="shared" ref="I66:I71" si="12">H66-C66</f>
        <v>3</v>
      </c>
    </row>
    <row r="67" spans="1:9" x14ac:dyDescent="0.3">
      <c r="A67" s="41"/>
      <c r="B67" s="41" t="s">
        <v>40</v>
      </c>
      <c r="C67" s="4">
        <v>0</v>
      </c>
      <c r="D67" s="4">
        <v>0</v>
      </c>
      <c r="E67" s="6" t="s">
        <v>448</v>
      </c>
      <c r="F67" s="7"/>
      <c r="H67" s="4">
        <v>31</v>
      </c>
      <c r="I67" s="1">
        <f t="shared" si="12"/>
        <v>31</v>
      </c>
    </row>
    <row r="68" spans="1:9" x14ac:dyDescent="0.3">
      <c r="A68" s="41"/>
      <c r="B68" s="41" t="s">
        <v>41</v>
      </c>
      <c r="C68" s="4">
        <v>0</v>
      </c>
      <c r="D68" s="4">
        <v>0</v>
      </c>
      <c r="E68" s="6" t="s">
        <v>487</v>
      </c>
      <c r="F68" s="7" t="s">
        <v>496</v>
      </c>
      <c r="H68" s="4">
        <v>0</v>
      </c>
      <c r="I68" s="1">
        <f t="shared" si="12"/>
        <v>0</v>
      </c>
    </row>
    <row r="69" spans="1:9" x14ac:dyDescent="0.3">
      <c r="A69" s="41"/>
      <c r="B69" s="41" t="s">
        <v>42</v>
      </c>
      <c r="C69" s="4">
        <v>0</v>
      </c>
      <c r="D69" s="4">
        <v>0</v>
      </c>
      <c r="E69" s="6" t="s">
        <v>489</v>
      </c>
      <c r="F69" s="7" t="s">
        <v>497</v>
      </c>
      <c r="H69" s="4">
        <v>-95</v>
      </c>
      <c r="I69" s="1">
        <f t="shared" si="12"/>
        <v>-95</v>
      </c>
    </row>
    <row r="70" spans="1:9" x14ac:dyDescent="0.3">
      <c r="A70" s="41"/>
      <c r="B70" s="41" t="s">
        <v>44</v>
      </c>
      <c r="C70" s="4">
        <v>0</v>
      </c>
      <c r="D70" s="4">
        <v>700</v>
      </c>
      <c r="E70" s="6" t="s">
        <v>489</v>
      </c>
      <c r="F70" s="7" t="s">
        <v>498</v>
      </c>
      <c r="H70" s="4">
        <v>-22</v>
      </c>
      <c r="I70" s="1">
        <f t="shared" si="12"/>
        <v>-22</v>
      </c>
    </row>
    <row r="71" spans="1:9" x14ac:dyDescent="0.3">
      <c r="A71" s="41"/>
      <c r="B71" s="41" t="s">
        <v>45</v>
      </c>
      <c r="C71" s="4">
        <v>700</v>
      </c>
      <c r="D71" s="4">
        <v>0</v>
      </c>
      <c r="E71" s="6" t="s">
        <v>489</v>
      </c>
      <c r="F71" s="7" t="s">
        <v>499</v>
      </c>
      <c r="H71" s="4">
        <v>745</v>
      </c>
      <c r="I71" s="1">
        <f t="shared" si="12"/>
        <v>45</v>
      </c>
    </row>
    <row r="72" spans="1:9" x14ac:dyDescent="0.3">
      <c r="A72" s="41"/>
      <c r="B72" s="41" t="s">
        <v>29</v>
      </c>
      <c r="C72" s="2">
        <f>SUM(C65:C71)</f>
        <v>700</v>
      </c>
      <c r="D72" s="2">
        <f>SUM(D65:D71)</f>
        <v>700</v>
      </c>
      <c r="E72" s="6"/>
      <c r="F72" s="7"/>
      <c r="H72" s="2">
        <f>SUM(H65:H71)</f>
        <v>625</v>
      </c>
      <c r="I72" s="2">
        <f>SUM(I65:I71)</f>
        <v>-75</v>
      </c>
    </row>
    <row r="73" spans="1:9" x14ac:dyDescent="0.3">
      <c r="A73" s="41"/>
      <c r="B73" s="41" t="s">
        <v>46</v>
      </c>
      <c r="C73" s="4">
        <v>0</v>
      </c>
      <c r="D73" s="4">
        <v>0</v>
      </c>
      <c r="E73" s="6" t="s">
        <v>487</v>
      </c>
      <c r="F73" s="7"/>
      <c r="H73" s="4">
        <v>-30.47</v>
      </c>
      <c r="I73" s="1">
        <f>H73-C73</f>
        <v>-30.47</v>
      </c>
    </row>
    <row r="74" spans="1:9" x14ac:dyDescent="0.3">
      <c r="A74" s="41"/>
      <c r="B74" s="41" t="s">
        <v>47</v>
      </c>
      <c r="C74" s="4">
        <v>0</v>
      </c>
      <c r="D74" s="4">
        <v>0</v>
      </c>
      <c r="E74" s="6" t="s">
        <v>487</v>
      </c>
      <c r="F74" s="7"/>
      <c r="H74" s="4">
        <v>-13</v>
      </c>
      <c r="I74" s="1">
        <f t="shared" ref="I74:I79" si="13">H74-C74</f>
        <v>-13</v>
      </c>
    </row>
    <row r="75" spans="1:9" x14ac:dyDescent="0.3">
      <c r="A75" s="41"/>
      <c r="B75" s="41" t="s">
        <v>48</v>
      </c>
      <c r="C75" s="4">
        <v>0</v>
      </c>
      <c r="D75" s="4">
        <v>0</v>
      </c>
      <c r="E75" s="6" t="s">
        <v>487</v>
      </c>
      <c r="F75" s="7"/>
      <c r="H75" s="4">
        <v>-38</v>
      </c>
      <c r="I75" s="1">
        <f>H75-C752</f>
        <v>-38</v>
      </c>
    </row>
    <row r="76" spans="1:9" x14ac:dyDescent="0.3">
      <c r="A76" s="41"/>
      <c r="B76" s="41" t="s">
        <v>50</v>
      </c>
      <c r="C76" s="4">
        <v>0</v>
      </c>
      <c r="D76" s="4">
        <v>0</v>
      </c>
      <c r="E76" s="6" t="s">
        <v>489</v>
      </c>
      <c r="F76" s="7"/>
      <c r="H76" s="4">
        <v>18</v>
      </c>
      <c r="I76" s="1">
        <f>H76-C76</f>
        <v>18</v>
      </c>
    </row>
    <row r="77" spans="1:9" x14ac:dyDescent="0.3">
      <c r="A77" s="41"/>
      <c r="B77" s="41" t="s">
        <v>51</v>
      </c>
      <c r="C77" s="4">
        <v>0</v>
      </c>
      <c r="D77" s="4">
        <v>0</v>
      </c>
      <c r="E77" s="6" t="s">
        <v>489</v>
      </c>
      <c r="F77" s="7"/>
      <c r="H77" s="4">
        <v>44.32</v>
      </c>
      <c r="I77" s="1">
        <f t="shared" si="13"/>
        <v>44.32</v>
      </c>
    </row>
    <row r="78" spans="1:9" x14ac:dyDescent="0.3">
      <c r="A78" s="41"/>
      <c r="B78" s="41" t="s">
        <v>52</v>
      </c>
      <c r="C78" s="4">
        <v>0</v>
      </c>
      <c r="D78" s="4">
        <v>0</v>
      </c>
      <c r="E78" s="6" t="s">
        <v>489</v>
      </c>
      <c r="F78" s="7"/>
      <c r="H78" s="4">
        <v>-39</v>
      </c>
      <c r="I78" s="1">
        <f t="shared" si="13"/>
        <v>-39</v>
      </c>
    </row>
    <row r="79" spans="1:9" x14ac:dyDescent="0.3">
      <c r="A79" s="41"/>
      <c r="B79" s="41" t="s">
        <v>54</v>
      </c>
      <c r="C79" s="4"/>
      <c r="D79" s="4">
        <v>0</v>
      </c>
      <c r="E79" s="6" t="s">
        <v>487</v>
      </c>
      <c r="F79" s="7"/>
      <c r="H79" s="4">
        <v>1</v>
      </c>
      <c r="I79" s="1">
        <f t="shared" si="13"/>
        <v>1</v>
      </c>
    </row>
    <row r="80" spans="1:9" x14ac:dyDescent="0.3">
      <c r="A80" s="41"/>
      <c r="B80" s="41" t="s">
        <v>11</v>
      </c>
      <c r="C80" s="2">
        <f>SUM(C73:C79)</f>
        <v>0</v>
      </c>
      <c r="D80" s="2">
        <f>SUM(D73:D79)</f>
        <v>0</v>
      </c>
      <c r="E80" s="6"/>
      <c r="F80" s="7"/>
      <c r="H80" s="2">
        <f t="shared" ref="H80:I80" si="14">SUM(H73:H79)</f>
        <v>-57.15</v>
      </c>
      <c r="I80" s="2">
        <f t="shared" si="14"/>
        <v>-57.15</v>
      </c>
    </row>
    <row r="81" spans="1:9" x14ac:dyDescent="0.3">
      <c r="A81" s="41"/>
      <c r="B81" s="41" t="s">
        <v>12</v>
      </c>
      <c r="C81" s="3">
        <f>SUM(C80+C72+C64+C56)</f>
        <v>1900</v>
      </c>
      <c r="D81" s="3">
        <f>SUM(D80+D72+D64+D56)</f>
        <v>1800</v>
      </c>
      <c r="E81" s="6"/>
      <c r="F81" s="7"/>
      <c r="H81" s="3">
        <f t="shared" ref="H81:I81" si="15">SUM(H80+H72+H64+H56)</f>
        <v>1758.85</v>
      </c>
      <c r="I81" s="3">
        <f t="shared" si="15"/>
        <v>-141.15</v>
      </c>
    </row>
    <row r="82" spans="1:9" x14ac:dyDescent="0.3">
      <c r="A82" s="41"/>
      <c r="B82" s="41" t="s">
        <v>13</v>
      </c>
      <c r="C82" s="1">
        <f>D81+C81</f>
        <v>3700</v>
      </c>
      <c r="E82" s="24"/>
      <c r="F82" s="25"/>
      <c r="H82" s="1">
        <f t="shared" ref="H82:I82" si="16">I81+H81</f>
        <v>1617.6999999999998</v>
      </c>
      <c r="I82" s="1">
        <f t="shared" si="16"/>
        <v>-141.15</v>
      </c>
    </row>
    <row r="83" spans="1:9" x14ac:dyDescent="0.3">
      <c r="A83" s="41"/>
      <c r="B83" s="44" t="s">
        <v>55</v>
      </c>
      <c r="C83" s="45" t="s">
        <v>56</v>
      </c>
      <c r="D83" s="45" t="s">
        <v>14</v>
      </c>
      <c r="E83" s="46"/>
      <c r="F83" s="47" t="s">
        <v>55</v>
      </c>
      <c r="G83" s="41"/>
      <c r="H83" s="41"/>
      <c r="I83" s="41"/>
    </row>
    <row r="84" spans="1:9" x14ac:dyDescent="0.3">
      <c r="A84" s="41"/>
      <c r="B84" s="48" t="s">
        <v>57</v>
      </c>
      <c r="C84" s="49" t="s">
        <v>500</v>
      </c>
      <c r="D84" s="41"/>
      <c r="E84" s="43" t="s">
        <v>488</v>
      </c>
      <c r="F84" s="50" t="s">
        <v>55</v>
      </c>
      <c r="G84" s="41"/>
      <c r="H84" s="41"/>
      <c r="I84" s="41"/>
    </row>
    <row r="85" spans="1:9" x14ac:dyDescent="0.3">
      <c r="A85" s="41"/>
      <c r="B85" s="48" t="s">
        <v>55</v>
      </c>
      <c r="C85" s="41"/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16</v>
      </c>
      <c r="C86" s="49" t="s">
        <v>501</v>
      </c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55</v>
      </c>
      <c r="C87" s="41"/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17</v>
      </c>
      <c r="C88" s="49" t="s">
        <v>502</v>
      </c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48" t="s">
        <v>55</v>
      </c>
      <c r="C89" s="41"/>
      <c r="D89" s="41"/>
      <c r="E89" s="41"/>
      <c r="F89" s="51" t="s">
        <v>55</v>
      </c>
      <c r="G89" s="41"/>
      <c r="H89" s="41"/>
      <c r="I89" s="41"/>
    </row>
    <row r="90" spans="1:9" x14ac:dyDescent="0.3">
      <c r="A90" s="41"/>
      <c r="B90" s="52" t="s">
        <v>18</v>
      </c>
      <c r="C90" s="53">
        <v>300</v>
      </c>
      <c r="D90" s="54" t="s">
        <v>55</v>
      </c>
      <c r="E90" s="54" t="s">
        <v>55</v>
      </c>
      <c r="F90" s="55" t="s">
        <v>55</v>
      </c>
      <c r="G90" s="41"/>
      <c r="H90" s="41"/>
      <c r="I90" s="41"/>
    </row>
    <row r="91" spans="1:9" x14ac:dyDescent="0.3">
      <c r="A91" s="41"/>
      <c r="B91" s="41"/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2" t="s">
        <v>58</v>
      </c>
      <c r="C92" s="41"/>
      <c r="D92" s="41"/>
      <c r="E92" s="41"/>
      <c r="F92" s="41"/>
      <c r="G92" s="41"/>
      <c r="H92" s="41"/>
      <c r="I92" s="41"/>
    </row>
    <row r="93" spans="1:9" x14ac:dyDescent="0.3">
      <c r="A93" s="41"/>
      <c r="B93" s="41" t="s">
        <v>56</v>
      </c>
      <c r="C93" s="4">
        <v>0</v>
      </c>
      <c r="D93" s="4">
        <v>0</v>
      </c>
      <c r="E93" s="6" t="s">
        <v>487</v>
      </c>
      <c r="F93" s="7" t="s">
        <v>503</v>
      </c>
      <c r="H93" s="4">
        <v>129.4</v>
      </c>
      <c r="I93" s="1">
        <f>H93-C93</f>
        <v>129.4</v>
      </c>
    </row>
    <row r="94" spans="1:9" x14ac:dyDescent="0.3">
      <c r="A94" s="41"/>
      <c r="B94" s="41" t="s">
        <v>60</v>
      </c>
      <c r="C94" s="4">
        <v>0</v>
      </c>
      <c r="D94" s="4">
        <v>0</v>
      </c>
      <c r="E94" s="6" t="s">
        <v>487</v>
      </c>
      <c r="F94" s="80" t="s">
        <v>504</v>
      </c>
      <c r="H94" s="4">
        <v>5.3</v>
      </c>
      <c r="I94" s="1">
        <f t="shared" ref="I94:I99" si="17">H94-C94</f>
        <v>5.3</v>
      </c>
    </row>
    <row r="95" spans="1:9" x14ac:dyDescent="0.3">
      <c r="A95" s="41"/>
      <c r="B95" s="41" t="s">
        <v>61</v>
      </c>
      <c r="C95" s="4">
        <v>0</v>
      </c>
      <c r="D95" s="4">
        <v>725</v>
      </c>
      <c r="E95" s="6" t="s">
        <v>487</v>
      </c>
      <c r="F95" s="7" t="s">
        <v>505</v>
      </c>
      <c r="H95" s="4">
        <v>-1.17</v>
      </c>
      <c r="I95" s="1">
        <f t="shared" si="17"/>
        <v>-1.17</v>
      </c>
    </row>
    <row r="96" spans="1:9" x14ac:dyDescent="0.3">
      <c r="A96" s="41"/>
      <c r="B96" s="41" t="s">
        <v>63</v>
      </c>
      <c r="C96" s="4">
        <v>700</v>
      </c>
      <c r="D96" s="4">
        <v>0</v>
      </c>
      <c r="E96" s="6" t="s">
        <v>487</v>
      </c>
      <c r="F96" s="7" t="s">
        <v>506</v>
      </c>
      <c r="H96" s="4">
        <v>691</v>
      </c>
      <c r="I96" s="1">
        <f t="shared" si="17"/>
        <v>-9</v>
      </c>
    </row>
    <row r="97" spans="1:12" x14ac:dyDescent="0.3">
      <c r="A97" s="41"/>
      <c r="B97" s="41" t="s">
        <v>64</v>
      </c>
      <c r="C97" s="4">
        <v>0</v>
      </c>
      <c r="D97" s="4">
        <v>0</v>
      </c>
      <c r="E97" s="6" t="s">
        <v>489</v>
      </c>
      <c r="F97" s="7" t="s">
        <v>507</v>
      </c>
      <c r="H97" s="4">
        <v>-82</v>
      </c>
      <c r="I97" s="1">
        <f t="shared" si="17"/>
        <v>-82</v>
      </c>
    </row>
    <row r="98" spans="1:12" x14ac:dyDescent="0.3">
      <c r="A98" s="41"/>
      <c r="B98" s="41" t="s">
        <v>65</v>
      </c>
      <c r="C98" s="4">
        <v>0</v>
      </c>
      <c r="D98" s="4">
        <v>0</v>
      </c>
      <c r="E98" s="6" t="s">
        <v>489</v>
      </c>
      <c r="F98" s="7" t="s">
        <v>508</v>
      </c>
      <c r="H98" s="4">
        <v>10</v>
      </c>
      <c r="I98" s="1">
        <f t="shared" si="17"/>
        <v>10</v>
      </c>
      <c r="L98" t="s">
        <v>509</v>
      </c>
    </row>
    <row r="99" spans="1:12" x14ac:dyDescent="0.3">
      <c r="A99" s="41"/>
      <c r="B99" s="41" t="s">
        <v>66</v>
      </c>
      <c r="C99" s="4">
        <v>0</v>
      </c>
      <c r="D99" s="4">
        <v>0</v>
      </c>
      <c r="E99" s="6" t="s">
        <v>487</v>
      </c>
      <c r="F99" s="7"/>
      <c r="H99" s="4">
        <v>3.53</v>
      </c>
      <c r="I99" s="1">
        <f t="shared" si="17"/>
        <v>3.53</v>
      </c>
    </row>
    <row r="100" spans="1:12" x14ac:dyDescent="0.3">
      <c r="A100" s="41"/>
      <c r="B100" s="41" t="s">
        <v>29</v>
      </c>
      <c r="C100" s="2">
        <f>SUM(C93:C99)</f>
        <v>700</v>
      </c>
      <c r="D100" s="2">
        <f>SUM(D93:D99)</f>
        <v>725</v>
      </c>
      <c r="E100" s="6"/>
      <c r="F100" s="7"/>
      <c r="H100" s="2">
        <f>SUM(H93:H99)</f>
        <v>756.06</v>
      </c>
      <c r="I100" s="2">
        <f>SUM(I93:I99)</f>
        <v>56.060000000000031</v>
      </c>
    </row>
    <row r="101" spans="1:12" x14ac:dyDescent="0.3">
      <c r="A101" s="41"/>
      <c r="B101" s="41" t="s">
        <v>67</v>
      </c>
      <c r="C101" s="4">
        <v>0</v>
      </c>
      <c r="D101" s="4">
        <v>0</v>
      </c>
      <c r="E101" s="6" t="s">
        <v>487</v>
      </c>
      <c r="F101" s="7"/>
      <c r="H101" s="4">
        <v>45.34</v>
      </c>
      <c r="I101" s="1">
        <f>H101-C101</f>
        <v>45.34</v>
      </c>
    </row>
    <row r="102" spans="1:12" x14ac:dyDescent="0.3">
      <c r="A102" s="41"/>
      <c r="B102" s="41" t="s">
        <v>68</v>
      </c>
      <c r="C102" s="4">
        <v>0</v>
      </c>
      <c r="D102" s="4">
        <v>0</v>
      </c>
      <c r="E102" s="6"/>
      <c r="F102" s="7"/>
      <c r="H102" s="4">
        <v>0</v>
      </c>
      <c r="I102" s="1">
        <f t="shared" ref="I102:I107" si="18">H102-C102</f>
        <v>0</v>
      </c>
    </row>
    <row r="103" spans="1:12" x14ac:dyDescent="0.3">
      <c r="A103" s="41"/>
      <c r="B103" s="41" t="s">
        <v>69</v>
      </c>
      <c r="C103" s="4">
        <v>0</v>
      </c>
      <c r="D103" s="4">
        <v>0</v>
      </c>
      <c r="E103" s="6"/>
      <c r="F103" s="7"/>
      <c r="H103" s="4">
        <v>0</v>
      </c>
      <c r="I103" s="1">
        <f t="shared" si="18"/>
        <v>0</v>
      </c>
    </row>
    <row r="104" spans="1:12" x14ac:dyDescent="0.3">
      <c r="A104" s="41"/>
      <c r="B104" s="41" t="s">
        <v>70</v>
      </c>
      <c r="C104" s="4">
        <v>0</v>
      </c>
      <c r="D104" s="4">
        <v>0</v>
      </c>
      <c r="E104" s="6"/>
      <c r="F104" s="7"/>
      <c r="H104" s="4">
        <v>0</v>
      </c>
      <c r="I104" s="1">
        <f t="shared" si="18"/>
        <v>0</v>
      </c>
    </row>
    <row r="105" spans="1:12" x14ac:dyDescent="0.3">
      <c r="A105" s="41"/>
      <c r="B105" s="41" t="s">
        <v>71</v>
      </c>
      <c r="C105" s="4">
        <v>0</v>
      </c>
      <c r="D105" s="4">
        <v>0</v>
      </c>
      <c r="E105" s="6"/>
      <c r="F105" s="7"/>
      <c r="H105" s="4">
        <v>0</v>
      </c>
      <c r="I105" s="1">
        <f t="shared" si="18"/>
        <v>0</v>
      </c>
    </row>
    <row r="106" spans="1:12" x14ac:dyDescent="0.3">
      <c r="A106" s="41"/>
      <c r="B106" s="41" t="s">
        <v>72</v>
      </c>
      <c r="C106" s="4">
        <v>0</v>
      </c>
      <c r="D106" s="4">
        <v>0</v>
      </c>
      <c r="E106" s="6"/>
      <c r="F106" s="7"/>
      <c r="H106" s="4">
        <v>0</v>
      </c>
      <c r="I106" s="1">
        <f t="shared" si="18"/>
        <v>0</v>
      </c>
    </row>
    <row r="107" spans="1:12" x14ac:dyDescent="0.3">
      <c r="A107" s="41"/>
      <c r="B107" s="41" t="s">
        <v>73</v>
      </c>
      <c r="C107" s="4">
        <v>0</v>
      </c>
      <c r="D107" s="4">
        <v>0</v>
      </c>
      <c r="E107" s="6"/>
      <c r="F107" s="7"/>
      <c r="H107" s="4">
        <v>0</v>
      </c>
      <c r="I107" s="1">
        <f t="shared" si="18"/>
        <v>0</v>
      </c>
    </row>
    <row r="108" spans="1:12" x14ac:dyDescent="0.3">
      <c r="A108" s="41"/>
      <c r="B108" s="41" t="s">
        <v>29</v>
      </c>
      <c r="C108" s="2">
        <f>SUM(C101:C107)</f>
        <v>0</v>
      </c>
      <c r="D108" s="2">
        <f>SUM(D101:D107)</f>
        <v>0</v>
      </c>
      <c r="E108" s="6"/>
      <c r="F108" s="7"/>
      <c r="H108" s="2">
        <f>SUM(H101:H107)</f>
        <v>45.34</v>
      </c>
      <c r="I108" s="2">
        <f>SUM(I101:I107)</f>
        <v>45.34</v>
      </c>
    </row>
    <row r="109" spans="1:12" x14ac:dyDescent="0.3">
      <c r="A109" s="41"/>
      <c r="B109" s="41" t="s">
        <v>74</v>
      </c>
      <c r="C109" s="4">
        <v>0</v>
      </c>
      <c r="D109" s="4">
        <v>0</v>
      </c>
      <c r="E109" s="6"/>
      <c r="F109" s="7"/>
      <c r="H109" s="4">
        <v>0</v>
      </c>
      <c r="I109" s="1">
        <f>H109-C109</f>
        <v>0</v>
      </c>
    </row>
    <row r="110" spans="1:12" x14ac:dyDescent="0.3">
      <c r="A110" s="41"/>
      <c r="B110" s="41" t="s">
        <v>75</v>
      </c>
      <c r="C110" s="4">
        <v>0</v>
      </c>
      <c r="D110" s="4">
        <v>0</v>
      </c>
      <c r="E110" s="6"/>
      <c r="F110" s="7"/>
      <c r="H110" s="4">
        <v>0</v>
      </c>
      <c r="I110" s="1">
        <f t="shared" ref="I110:I115" si="19">H110-C110</f>
        <v>0</v>
      </c>
    </row>
    <row r="111" spans="1:12" x14ac:dyDescent="0.3">
      <c r="A111" s="41"/>
      <c r="B111" s="41" t="s">
        <v>76</v>
      </c>
      <c r="C111" s="4">
        <v>0</v>
      </c>
      <c r="D111" s="4">
        <v>0</v>
      </c>
      <c r="E111" s="6"/>
      <c r="F111" s="7"/>
      <c r="H111" s="4">
        <v>0</v>
      </c>
      <c r="I111" s="1">
        <f t="shared" si="19"/>
        <v>0</v>
      </c>
    </row>
    <row r="112" spans="1:12" x14ac:dyDescent="0.3">
      <c r="A112" s="41"/>
      <c r="B112" s="41" t="s">
        <v>77</v>
      </c>
      <c r="C112" s="4">
        <v>0</v>
      </c>
      <c r="D112" s="4">
        <v>0</v>
      </c>
      <c r="E112" s="6"/>
      <c r="F112" s="7"/>
      <c r="H112" s="4">
        <v>0</v>
      </c>
      <c r="I112" s="1">
        <f t="shared" si="19"/>
        <v>0</v>
      </c>
    </row>
    <row r="113" spans="1:9" x14ac:dyDescent="0.3">
      <c r="A113" s="41"/>
      <c r="B113" s="41" t="s">
        <v>78</v>
      </c>
      <c r="C113" s="4">
        <v>0</v>
      </c>
      <c r="D113" s="4">
        <v>0</v>
      </c>
      <c r="E113" s="6"/>
      <c r="F113" s="7"/>
      <c r="H113" s="4">
        <v>0</v>
      </c>
      <c r="I113" s="1">
        <f t="shared" si="19"/>
        <v>0</v>
      </c>
    </row>
    <row r="114" spans="1:9" x14ac:dyDescent="0.3">
      <c r="A114" s="41"/>
      <c r="B114" s="41" t="s">
        <v>79</v>
      </c>
      <c r="C114" s="4">
        <v>0</v>
      </c>
      <c r="D114" s="4">
        <v>0</v>
      </c>
      <c r="E114" s="6"/>
      <c r="F114" s="7"/>
      <c r="H114" s="4">
        <v>0</v>
      </c>
      <c r="I114" s="1">
        <f t="shared" si="19"/>
        <v>0</v>
      </c>
    </row>
    <row r="115" spans="1:9" x14ac:dyDescent="0.3">
      <c r="A115" s="41"/>
      <c r="B115" s="41" t="s">
        <v>80</v>
      </c>
      <c r="C115" s="4">
        <v>0</v>
      </c>
      <c r="D115" s="4">
        <v>0</v>
      </c>
      <c r="E115" s="6"/>
      <c r="F115" s="7"/>
      <c r="H115" s="4">
        <v>0</v>
      </c>
      <c r="I115" s="1">
        <f t="shared" si="19"/>
        <v>0</v>
      </c>
    </row>
    <row r="116" spans="1:9" x14ac:dyDescent="0.3">
      <c r="A116" s="41"/>
      <c r="B116" s="41" t="s">
        <v>29</v>
      </c>
      <c r="C116" s="2">
        <f>SUM(C109:C115)</f>
        <v>0</v>
      </c>
      <c r="D116" s="2">
        <f>SUM(D109:D115)</f>
        <v>0</v>
      </c>
      <c r="E116" s="6"/>
      <c r="F116" s="7"/>
      <c r="H116" s="2">
        <f>SUM(H109:H115)</f>
        <v>0</v>
      </c>
      <c r="I116" s="2">
        <f>SUM(I109:I115)</f>
        <v>0</v>
      </c>
    </row>
    <row r="117" spans="1:9" x14ac:dyDescent="0.3">
      <c r="A117" s="41"/>
      <c r="B117" s="41" t="s">
        <v>81</v>
      </c>
      <c r="C117" s="4">
        <v>0</v>
      </c>
      <c r="D117" s="4">
        <v>0</v>
      </c>
      <c r="E117" s="6"/>
      <c r="F117" s="7"/>
      <c r="H117" s="4">
        <v>0</v>
      </c>
      <c r="I117" s="1">
        <f>H117-C117</f>
        <v>0</v>
      </c>
    </row>
    <row r="118" spans="1:9" x14ac:dyDescent="0.3">
      <c r="A118" s="41"/>
      <c r="B118" s="41" t="s">
        <v>82</v>
      </c>
      <c r="C118" s="4">
        <v>0</v>
      </c>
      <c r="D118" s="4">
        <v>0</v>
      </c>
      <c r="E118" s="6"/>
      <c r="F118" s="7"/>
      <c r="H118" s="4">
        <v>0</v>
      </c>
      <c r="I118" s="1">
        <f t="shared" ref="I118:I123" si="20">H118-C118</f>
        <v>0</v>
      </c>
    </row>
    <row r="119" spans="1:9" x14ac:dyDescent="0.3">
      <c r="A119" s="41"/>
      <c r="B119" s="41" t="s">
        <v>83</v>
      </c>
      <c r="C119" s="4">
        <v>0</v>
      </c>
      <c r="D119" s="4">
        <v>0</v>
      </c>
      <c r="E119" s="6"/>
      <c r="F119" s="7"/>
      <c r="H119" s="4">
        <v>0</v>
      </c>
      <c r="I119" s="1">
        <f t="shared" si="20"/>
        <v>0</v>
      </c>
    </row>
    <row r="120" spans="1:9" x14ac:dyDescent="0.3">
      <c r="A120" s="41"/>
      <c r="B120" s="41" t="s">
        <v>84</v>
      </c>
      <c r="C120" s="4">
        <v>0</v>
      </c>
      <c r="D120" s="4">
        <v>0</v>
      </c>
      <c r="E120" s="6"/>
      <c r="F120" s="7"/>
      <c r="H120" s="4">
        <v>0</v>
      </c>
      <c r="I120" s="1">
        <f t="shared" si="20"/>
        <v>0</v>
      </c>
    </row>
    <row r="121" spans="1:9" x14ac:dyDescent="0.3">
      <c r="A121" s="41"/>
      <c r="B121" s="41" t="s">
        <v>85</v>
      </c>
      <c r="C121" s="4">
        <v>0</v>
      </c>
      <c r="D121" s="4">
        <v>0</v>
      </c>
      <c r="E121" s="6"/>
      <c r="F121" s="7"/>
      <c r="H121" s="4">
        <v>0</v>
      </c>
      <c r="I121" s="1">
        <f t="shared" si="20"/>
        <v>0</v>
      </c>
    </row>
    <row r="122" spans="1:9" x14ac:dyDescent="0.3">
      <c r="A122" s="41"/>
      <c r="B122" s="41" t="s">
        <v>86</v>
      </c>
      <c r="C122" s="4">
        <v>0</v>
      </c>
      <c r="D122" s="4">
        <v>0</v>
      </c>
      <c r="E122" s="6"/>
      <c r="F122" s="7"/>
      <c r="H122" s="4">
        <v>0</v>
      </c>
      <c r="I122" s="1">
        <f t="shared" si="20"/>
        <v>0</v>
      </c>
    </row>
    <row r="123" spans="1:9" x14ac:dyDescent="0.3">
      <c r="A123" s="41"/>
      <c r="B123" s="41" t="s">
        <v>87</v>
      </c>
      <c r="C123" s="4"/>
      <c r="D123" s="4">
        <v>0</v>
      </c>
      <c r="E123" s="6"/>
      <c r="F123" s="7"/>
      <c r="H123" s="4">
        <v>0</v>
      </c>
      <c r="I123" s="1">
        <f t="shared" si="20"/>
        <v>0</v>
      </c>
    </row>
    <row r="124" spans="1:9" x14ac:dyDescent="0.3">
      <c r="A124" s="41"/>
      <c r="B124" s="41" t="s">
        <v>11</v>
      </c>
      <c r="C124" s="2">
        <f>SUM(C117:C123)</f>
        <v>0</v>
      </c>
      <c r="D124" s="2">
        <f>SUM(D117:D123)</f>
        <v>0</v>
      </c>
      <c r="E124" s="6"/>
      <c r="F124" s="7"/>
      <c r="H124" s="2">
        <f t="shared" ref="H124:I124" si="21">SUM(H117:H123)</f>
        <v>0</v>
      </c>
      <c r="I124" s="2">
        <f t="shared" si="21"/>
        <v>0</v>
      </c>
    </row>
    <row r="125" spans="1:9" x14ac:dyDescent="0.3">
      <c r="A125" s="41"/>
      <c r="B125" s="41" t="s">
        <v>12</v>
      </c>
      <c r="C125" s="3">
        <f>SUM(C124+C116+C108+C100)</f>
        <v>700</v>
      </c>
      <c r="D125" s="3">
        <f>SUM(D124+D116+D108+D100)</f>
        <v>725</v>
      </c>
      <c r="E125" s="6"/>
      <c r="F125" s="7"/>
      <c r="H125" s="3">
        <f t="shared" ref="H125:I125" si="22">SUM(H124+H116+H108+H100)</f>
        <v>801.4</v>
      </c>
      <c r="I125" s="3">
        <f t="shared" si="22"/>
        <v>101.40000000000003</v>
      </c>
    </row>
    <row r="126" spans="1:9" x14ac:dyDescent="0.3">
      <c r="A126" s="41"/>
      <c r="B126" s="41" t="s">
        <v>13</v>
      </c>
      <c r="C126" s="1">
        <f>D125+C125</f>
        <v>1425</v>
      </c>
      <c r="E126" s="24"/>
      <c r="F126" s="25"/>
      <c r="H126" s="1">
        <f t="shared" ref="H126:I126" si="23">I125+H125</f>
        <v>902.8</v>
      </c>
      <c r="I126" s="1">
        <f t="shared" si="23"/>
        <v>101.40000000000003</v>
      </c>
    </row>
    <row r="127" spans="1:9" x14ac:dyDescent="0.3">
      <c r="A127" s="41"/>
      <c r="B127" s="44" t="s">
        <v>55</v>
      </c>
      <c r="C127" s="45" t="s">
        <v>88</v>
      </c>
      <c r="D127" s="45" t="s">
        <v>14</v>
      </c>
      <c r="E127" s="46"/>
      <c r="F127" s="47" t="s">
        <v>55</v>
      </c>
      <c r="G127" s="41"/>
      <c r="H127" s="41"/>
      <c r="I127" s="41"/>
    </row>
    <row r="128" spans="1:9" x14ac:dyDescent="0.3">
      <c r="A128" s="41"/>
      <c r="B128" s="48" t="s">
        <v>57</v>
      </c>
      <c r="C128" s="49" t="s">
        <v>55</v>
      </c>
      <c r="D128" s="41"/>
      <c r="E128" s="43" t="s">
        <v>55</v>
      </c>
      <c r="F128" s="50" t="s">
        <v>55</v>
      </c>
      <c r="G128" s="41"/>
      <c r="H128" s="41"/>
      <c r="I128" s="41"/>
    </row>
    <row r="129" spans="1:9" x14ac:dyDescent="0.3">
      <c r="A129" s="41"/>
      <c r="B129" s="48" t="s">
        <v>55</v>
      </c>
      <c r="C129" s="41"/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16</v>
      </c>
      <c r="C130" s="49" t="s">
        <v>55</v>
      </c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55</v>
      </c>
      <c r="C131" s="41"/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17</v>
      </c>
      <c r="C132" s="49" t="s">
        <v>55</v>
      </c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48" t="s">
        <v>55</v>
      </c>
      <c r="C133" s="41"/>
      <c r="D133" s="41"/>
      <c r="E133" s="41"/>
      <c r="F133" s="51" t="s">
        <v>55</v>
      </c>
      <c r="G133" s="41"/>
      <c r="H133" s="41"/>
      <c r="I133" s="41"/>
    </row>
    <row r="134" spans="1:9" x14ac:dyDescent="0.3">
      <c r="A134" s="41"/>
      <c r="B134" s="52" t="s">
        <v>18</v>
      </c>
      <c r="C134" s="53" t="s">
        <v>55</v>
      </c>
      <c r="D134" s="54" t="s">
        <v>55</v>
      </c>
      <c r="E134" s="54" t="s">
        <v>55</v>
      </c>
      <c r="F134" s="55" t="s">
        <v>55</v>
      </c>
      <c r="G134" s="41"/>
      <c r="H134" s="41"/>
      <c r="I134" s="41"/>
    </row>
    <row r="135" spans="1:9" x14ac:dyDescent="0.3">
      <c r="A135" s="41"/>
      <c r="B135" s="41"/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2" t="s">
        <v>89</v>
      </c>
      <c r="C136" s="41"/>
      <c r="D136" s="41"/>
      <c r="E136" s="41"/>
      <c r="F136" s="41"/>
      <c r="G136" s="41"/>
      <c r="H136" s="41"/>
      <c r="I136" s="41"/>
    </row>
    <row r="137" spans="1:9" x14ac:dyDescent="0.3">
      <c r="A137" s="41"/>
      <c r="B137" s="41" t="s">
        <v>88</v>
      </c>
      <c r="C137" s="4">
        <v>0</v>
      </c>
      <c r="D137" s="4">
        <v>0</v>
      </c>
      <c r="E137" s="6"/>
      <c r="F137" s="7"/>
      <c r="H137" s="4">
        <v>0</v>
      </c>
      <c r="I137" s="1">
        <f>H137-C137</f>
        <v>0</v>
      </c>
    </row>
    <row r="138" spans="1:9" x14ac:dyDescent="0.3">
      <c r="A138" s="41"/>
      <c r="B138" s="41" t="s">
        <v>90</v>
      </c>
      <c r="C138" s="4">
        <v>0</v>
      </c>
      <c r="D138" s="4">
        <v>0</v>
      </c>
      <c r="E138" s="6"/>
      <c r="F138" s="7"/>
      <c r="H138" s="4">
        <v>0</v>
      </c>
      <c r="I138" s="1">
        <f t="shared" ref="I138:I143" si="24">H138-C138</f>
        <v>0</v>
      </c>
    </row>
    <row r="139" spans="1:9" x14ac:dyDescent="0.3">
      <c r="A139" s="41"/>
      <c r="B139" s="41" t="s">
        <v>91</v>
      </c>
      <c r="C139" s="4">
        <v>0</v>
      </c>
      <c r="D139" s="4">
        <v>0</v>
      </c>
      <c r="E139" s="6"/>
      <c r="F139" s="7"/>
      <c r="H139" s="4">
        <v>0</v>
      </c>
      <c r="I139" s="1">
        <f t="shared" si="24"/>
        <v>0</v>
      </c>
    </row>
    <row r="140" spans="1:9" x14ac:dyDescent="0.3">
      <c r="A140" s="41"/>
      <c r="B140" s="41" t="s">
        <v>92</v>
      </c>
      <c r="C140" s="4">
        <v>0</v>
      </c>
      <c r="D140" s="4">
        <v>0</v>
      </c>
      <c r="E140" s="6"/>
      <c r="F140" s="7"/>
      <c r="H140" s="4">
        <v>0</v>
      </c>
      <c r="I140" s="1">
        <f t="shared" si="24"/>
        <v>0</v>
      </c>
    </row>
    <row r="141" spans="1:9" x14ac:dyDescent="0.3">
      <c r="A141" s="41"/>
      <c r="B141" s="41" t="s">
        <v>93</v>
      </c>
      <c r="C141" s="4">
        <v>0</v>
      </c>
      <c r="D141" s="4">
        <v>0</v>
      </c>
      <c r="E141" s="6"/>
      <c r="F141" s="7"/>
      <c r="H141" s="4">
        <v>0</v>
      </c>
      <c r="I141" s="1">
        <f t="shared" si="24"/>
        <v>0</v>
      </c>
    </row>
    <row r="142" spans="1:9" x14ac:dyDescent="0.3">
      <c r="A142" s="41"/>
      <c r="B142" s="41" t="s">
        <v>94</v>
      </c>
      <c r="C142" s="4">
        <v>0</v>
      </c>
      <c r="D142" s="4">
        <v>0</v>
      </c>
      <c r="E142" s="6"/>
      <c r="F142" s="7"/>
      <c r="H142" s="4">
        <v>0</v>
      </c>
      <c r="I142" s="1">
        <f t="shared" si="24"/>
        <v>0</v>
      </c>
    </row>
    <row r="143" spans="1:9" x14ac:dyDescent="0.3">
      <c r="A143" s="41"/>
      <c r="B143" s="41" t="s">
        <v>95</v>
      </c>
      <c r="C143" s="4">
        <v>0</v>
      </c>
      <c r="D143" s="4">
        <v>0</v>
      </c>
      <c r="E143" s="6"/>
      <c r="F143" s="7"/>
      <c r="H143" s="4">
        <v>0</v>
      </c>
      <c r="I143" s="1">
        <f t="shared" si="24"/>
        <v>0</v>
      </c>
    </row>
    <row r="144" spans="1:9" x14ac:dyDescent="0.3">
      <c r="A144" s="41"/>
      <c r="B144" s="41" t="s">
        <v>29</v>
      </c>
      <c r="C144" s="2">
        <f>SUM(C137:C143)</f>
        <v>0</v>
      </c>
      <c r="D144" s="2">
        <f>SUM(D137:D143)</f>
        <v>0</v>
      </c>
      <c r="E144" s="6"/>
      <c r="F144" s="7"/>
      <c r="H144" s="2">
        <f>SUM(H137:H143)</f>
        <v>0</v>
      </c>
      <c r="I144" s="2">
        <f>SUM(I137:I143)</f>
        <v>0</v>
      </c>
    </row>
    <row r="145" spans="1:9" x14ac:dyDescent="0.3">
      <c r="A145" s="41"/>
      <c r="B145" s="41" t="s">
        <v>96</v>
      </c>
      <c r="C145" s="4">
        <v>0</v>
      </c>
      <c r="D145" s="4">
        <v>0</v>
      </c>
      <c r="E145" s="6"/>
      <c r="F145" s="7"/>
      <c r="H145" s="4">
        <v>0</v>
      </c>
      <c r="I145" s="1">
        <f>H145-C145</f>
        <v>0</v>
      </c>
    </row>
    <row r="146" spans="1:9" x14ac:dyDescent="0.3">
      <c r="A146" s="41"/>
      <c r="B146" s="41" t="s">
        <v>97</v>
      </c>
      <c r="C146" s="4">
        <v>0</v>
      </c>
      <c r="D146" s="4">
        <v>0</v>
      </c>
      <c r="E146" s="6"/>
      <c r="F146" s="7"/>
      <c r="H146" s="4">
        <v>0</v>
      </c>
      <c r="I146" s="1">
        <f t="shared" ref="I146:I151" si="25">H146-C146</f>
        <v>0</v>
      </c>
    </row>
    <row r="147" spans="1:9" x14ac:dyDescent="0.3">
      <c r="A147" s="41"/>
      <c r="B147" s="41" t="s">
        <v>98</v>
      </c>
      <c r="C147" s="4">
        <v>0</v>
      </c>
      <c r="D147" s="4">
        <v>0</v>
      </c>
      <c r="E147" s="6"/>
      <c r="F147" s="7"/>
      <c r="H147" s="4">
        <v>0</v>
      </c>
      <c r="I147" s="1">
        <f t="shared" si="25"/>
        <v>0</v>
      </c>
    </row>
    <row r="148" spans="1:9" x14ac:dyDescent="0.3">
      <c r="A148" s="41"/>
      <c r="B148" s="41" t="s">
        <v>99</v>
      </c>
      <c r="C148" s="4">
        <v>0</v>
      </c>
      <c r="D148" s="4">
        <v>0</v>
      </c>
      <c r="E148" s="6"/>
      <c r="F148" s="7"/>
      <c r="H148" s="4">
        <v>0</v>
      </c>
      <c r="I148" s="1">
        <f t="shared" si="25"/>
        <v>0</v>
      </c>
    </row>
    <row r="149" spans="1:9" x14ac:dyDescent="0.3">
      <c r="A149" s="41"/>
      <c r="B149" s="41" t="s">
        <v>100</v>
      </c>
      <c r="C149" s="4">
        <v>0</v>
      </c>
      <c r="D149" s="4">
        <v>0</v>
      </c>
      <c r="E149" s="6"/>
      <c r="F149" s="7"/>
      <c r="H149" s="4">
        <v>0</v>
      </c>
      <c r="I149" s="1">
        <f t="shared" si="25"/>
        <v>0</v>
      </c>
    </row>
    <row r="150" spans="1:9" x14ac:dyDescent="0.3">
      <c r="A150" s="41"/>
      <c r="B150" s="41" t="s">
        <v>101</v>
      </c>
      <c r="C150" s="4">
        <v>0</v>
      </c>
      <c r="D150" s="4">
        <v>0</v>
      </c>
      <c r="E150" s="6"/>
      <c r="F150" s="7"/>
      <c r="H150" s="4">
        <v>0</v>
      </c>
      <c r="I150" s="1">
        <f t="shared" si="25"/>
        <v>0</v>
      </c>
    </row>
    <row r="151" spans="1:9" x14ac:dyDescent="0.3">
      <c r="A151" s="41"/>
      <c r="B151" s="41" t="s">
        <v>102</v>
      </c>
      <c r="C151" s="4">
        <v>0</v>
      </c>
      <c r="D151" s="4">
        <v>0</v>
      </c>
      <c r="E151" s="6"/>
      <c r="F151" s="7"/>
      <c r="H151" s="4">
        <v>0</v>
      </c>
      <c r="I151" s="1">
        <f t="shared" si="25"/>
        <v>0</v>
      </c>
    </row>
    <row r="152" spans="1:9" x14ac:dyDescent="0.3">
      <c r="A152" s="41"/>
      <c r="B152" s="41" t="s">
        <v>29</v>
      </c>
      <c r="C152" s="2">
        <f>SUM(C145:C151)</f>
        <v>0</v>
      </c>
      <c r="D152" s="2">
        <f>SUM(D145:D151)</f>
        <v>0</v>
      </c>
      <c r="E152" s="6"/>
      <c r="F152" s="7"/>
      <c r="H152" s="2">
        <f>SUM(H145:H151)</f>
        <v>0</v>
      </c>
      <c r="I152" s="2">
        <f>SUM(I145:I151)</f>
        <v>0</v>
      </c>
    </row>
    <row r="153" spans="1:9" x14ac:dyDescent="0.3">
      <c r="A153" s="41"/>
      <c r="B153" s="41" t="s">
        <v>103</v>
      </c>
      <c r="C153" s="4">
        <v>0</v>
      </c>
      <c r="D153" s="4">
        <v>0</v>
      </c>
      <c r="E153" s="6"/>
      <c r="F153" s="7"/>
      <c r="H153" s="4">
        <v>0</v>
      </c>
      <c r="I153" s="1">
        <f>H153-C153</f>
        <v>0</v>
      </c>
    </row>
    <row r="154" spans="1:9" x14ac:dyDescent="0.3">
      <c r="A154" s="41"/>
      <c r="B154" s="41" t="s">
        <v>104</v>
      </c>
      <c r="C154" s="4">
        <v>0</v>
      </c>
      <c r="D154" s="4">
        <v>0</v>
      </c>
      <c r="E154" s="6"/>
      <c r="F154" s="7"/>
      <c r="H154" s="4">
        <v>0</v>
      </c>
      <c r="I154" s="1">
        <f t="shared" ref="I154:I159" si="26">H154-C154</f>
        <v>0</v>
      </c>
    </row>
    <row r="155" spans="1:9" x14ac:dyDescent="0.3">
      <c r="A155" s="41"/>
      <c r="B155" s="41" t="s">
        <v>105</v>
      </c>
      <c r="C155" s="4">
        <v>0</v>
      </c>
      <c r="D155" s="4">
        <v>0</v>
      </c>
      <c r="E155" s="6"/>
      <c r="F155" s="7"/>
      <c r="H155" s="4">
        <v>0</v>
      </c>
      <c r="I155" s="1">
        <f t="shared" si="26"/>
        <v>0</v>
      </c>
    </row>
    <row r="156" spans="1:9" x14ac:dyDescent="0.3">
      <c r="A156" s="41"/>
      <c r="B156" s="41" t="s">
        <v>106</v>
      </c>
      <c r="C156" s="4">
        <v>0</v>
      </c>
      <c r="D156" s="4">
        <v>0</v>
      </c>
      <c r="E156" s="6"/>
      <c r="F156" s="7"/>
      <c r="H156" s="4">
        <v>0</v>
      </c>
      <c r="I156" s="1">
        <f t="shared" si="26"/>
        <v>0</v>
      </c>
    </row>
    <row r="157" spans="1:9" x14ac:dyDescent="0.3">
      <c r="A157" s="41"/>
      <c r="B157" s="41" t="s">
        <v>107</v>
      </c>
      <c r="C157" s="4">
        <v>0</v>
      </c>
      <c r="D157" s="4">
        <v>0</v>
      </c>
      <c r="E157" s="6"/>
      <c r="F157" s="7"/>
      <c r="H157" s="4">
        <v>0</v>
      </c>
      <c r="I157" s="1">
        <f t="shared" si="26"/>
        <v>0</v>
      </c>
    </row>
    <row r="158" spans="1:9" x14ac:dyDescent="0.3">
      <c r="A158" s="41"/>
      <c r="B158" s="41" t="s">
        <v>108</v>
      </c>
      <c r="C158" s="4">
        <v>0</v>
      </c>
      <c r="D158" s="4">
        <v>0</v>
      </c>
      <c r="E158" s="6"/>
      <c r="F158" s="7"/>
      <c r="H158" s="4">
        <v>0</v>
      </c>
      <c r="I158" s="1">
        <f t="shared" si="26"/>
        <v>0</v>
      </c>
    </row>
    <row r="159" spans="1:9" x14ac:dyDescent="0.3">
      <c r="A159" s="41"/>
      <c r="B159" s="41" t="s">
        <v>109</v>
      </c>
      <c r="C159" s="4">
        <v>0</v>
      </c>
      <c r="D159" s="4">
        <v>0</v>
      </c>
      <c r="E159" s="6"/>
      <c r="F159" s="7"/>
      <c r="H159" s="4">
        <v>0</v>
      </c>
      <c r="I159" s="1">
        <f t="shared" si="26"/>
        <v>0</v>
      </c>
    </row>
    <row r="160" spans="1:9" x14ac:dyDescent="0.3">
      <c r="A160" s="41"/>
      <c r="B160" s="41" t="s">
        <v>29</v>
      </c>
      <c r="C160" s="2">
        <f>SUM(C153:C159)</f>
        <v>0</v>
      </c>
      <c r="D160" s="2">
        <f>SUM(D153:D159)</f>
        <v>0</v>
      </c>
      <c r="E160" s="6"/>
      <c r="F160" s="7"/>
      <c r="H160" s="2">
        <f>SUM(H153:H159)</f>
        <v>0</v>
      </c>
      <c r="I160" s="2">
        <f>SUM(I153:I159)</f>
        <v>0</v>
      </c>
    </row>
    <row r="161" spans="1:9" x14ac:dyDescent="0.3">
      <c r="A161" s="41"/>
      <c r="B161" s="41" t="s">
        <v>110</v>
      </c>
      <c r="C161" s="4">
        <v>0</v>
      </c>
      <c r="D161" s="4">
        <v>0</v>
      </c>
      <c r="E161" s="6"/>
      <c r="F161" s="7"/>
      <c r="H161" s="4">
        <v>0</v>
      </c>
      <c r="I161" s="1">
        <f>H161-C161</f>
        <v>0</v>
      </c>
    </row>
    <row r="162" spans="1:9" x14ac:dyDescent="0.3">
      <c r="A162" s="41"/>
      <c r="B162" s="41" t="s">
        <v>111</v>
      </c>
      <c r="C162" s="4">
        <v>0</v>
      </c>
      <c r="D162" s="4">
        <v>0</v>
      </c>
      <c r="E162" s="6"/>
      <c r="F162" s="7"/>
      <c r="H162" s="4">
        <v>0</v>
      </c>
      <c r="I162" s="1">
        <f t="shared" ref="I162:I167" si="27">H162-C162</f>
        <v>0</v>
      </c>
    </row>
    <row r="163" spans="1:9" x14ac:dyDescent="0.3">
      <c r="A163" s="41"/>
      <c r="B163" s="41" t="s">
        <v>112</v>
      </c>
      <c r="C163" s="4">
        <v>0</v>
      </c>
      <c r="D163" s="4">
        <v>0</v>
      </c>
      <c r="E163" s="6"/>
      <c r="F163" s="7"/>
      <c r="H163" s="4">
        <v>0</v>
      </c>
      <c r="I163" s="1">
        <f t="shared" si="27"/>
        <v>0</v>
      </c>
    </row>
    <row r="164" spans="1:9" x14ac:dyDescent="0.3">
      <c r="A164" s="41"/>
      <c r="B164" s="41" t="s">
        <v>113</v>
      </c>
      <c r="C164" s="4">
        <v>0</v>
      </c>
      <c r="D164" s="4">
        <v>0</v>
      </c>
      <c r="E164" s="6"/>
      <c r="F164" s="7"/>
      <c r="H164" s="4">
        <v>0</v>
      </c>
      <c r="I164" s="1">
        <f t="shared" si="27"/>
        <v>0</v>
      </c>
    </row>
    <row r="165" spans="1:9" x14ac:dyDescent="0.3">
      <c r="A165" s="41"/>
      <c r="B165" s="41" t="s">
        <v>114</v>
      </c>
      <c r="C165" s="4">
        <v>0</v>
      </c>
      <c r="D165" s="4">
        <v>0</v>
      </c>
      <c r="E165" s="6"/>
      <c r="F165" s="7"/>
      <c r="H165" s="4">
        <v>0</v>
      </c>
      <c r="I165" s="1">
        <f t="shared" si="27"/>
        <v>0</v>
      </c>
    </row>
    <row r="166" spans="1:9" x14ac:dyDescent="0.3">
      <c r="A166" s="41"/>
      <c r="B166" s="41" t="s">
        <v>115</v>
      </c>
      <c r="C166" s="4">
        <v>0</v>
      </c>
      <c r="D166" s="4">
        <v>0</v>
      </c>
      <c r="E166" s="6"/>
      <c r="F166" s="7"/>
      <c r="H166" s="4">
        <v>0</v>
      </c>
      <c r="I166" s="1">
        <f t="shared" si="27"/>
        <v>0</v>
      </c>
    </row>
    <row r="167" spans="1:9" x14ac:dyDescent="0.3">
      <c r="A167" s="41"/>
      <c r="B167" s="41" t="s">
        <v>116</v>
      </c>
      <c r="C167" s="4"/>
      <c r="D167" s="4">
        <v>0</v>
      </c>
      <c r="E167" s="6"/>
      <c r="F167" s="7"/>
      <c r="H167" s="4">
        <v>0</v>
      </c>
      <c r="I167" s="1">
        <f t="shared" si="27"/>
        <v>0</v>
      </c>
    </row>
    <row r="168" spans="1:9" x14ac:dyDescent="0.3">
      <c r="A168" s="41"/>
      <c r="B168" s="41" t="s">
        <v>11</v>
      </c>
      <c r="C168" s="2">
        <f>SUM(C161:C167)</f>
        <v>0</v>
      </c>
      <c r="D168" s="2">
        <f>SUM(D161:D167)</f>
        <v>0</v>
      </c>
      <c r="E168" s="6"/>
      <c r="F168" s="7"/>
      <c r="H168" s="2">
        <f t="shared" ref="H168:I168" si="28">SUM(H161:H167)</f>
        <v>0</v>
      </c>
      <c r="I168" s="2">
        <f t="shared" si="28"/>
        <v>0</v>
      </c>
    </row>
    <row r="169" spans="1:9" x14ac:dyDescent="0.3">
      <c r="A169" s="41"/>
      <c r="B169" s="41" t="s">
        <v>12</v>
      </c>
      <c r="C169" s="3">
        <f>SUM(C168+C160+C152+C144)</f>
        <v>0</v>
      </c>
      <c r="D169" s="3">
        <f>SUM(D168+D160+D152+D144)</f>
        <v>0</v>
      </c>
      <c r="E169" s="6"/>
      <c r="F169" s="7"/>
      <c r="H169" s="3">
        <f t="shared" ref="H169:I169" si="29">SUM(H168+H160+H152+H144)</f>
        <v>0</v>
      </c>
      <c r="I169" s="3">
        <f t="shared" si="29"/>
        <v>0</v>
      </c>
    </row>
    <row r="170" spans="1:9" x14ac:dyDescent="0.3">
      <c r="A170" s="41"/>
      <c r="B170" s="41" t="s">
        <v>13</v>
      </c>
      <c r="C170" s="1">
        <f>D169+C169</f>
        <v>0</v>
      </c>
      <c r="E170" s="24"/>
      <c r="F170" s="25"/>
      <c r="H170" s="1">
        <f t="shared" ref="H170:I170" si="30">I169+H169</f>
        <v>0</v>
      </c>
      <c r="I170" s="1">
        <f t="shared" si="30"/>
        <v>0</v>
      </c>
    </row>
    <row r="171" spans="1:9" x14ac:dyDescent="0.3">
      <c r="A171" s="41"/>
      <c r="B171" s="44" t="s">
        <v>55</v>
      </c>
      <c r="C171" s="45" t="s">
        <v>117</v>
      </c>
      <c r="D171" s="45" t="s">
        <v>14</v>
      </c>
      <c r="E171" s="46"/>
      <c r="F171" s="47" t="s">
        <v>55</v>
      </c>
      <c r="G171" s="41"/>
      <c r="H171" s="41"/>
      <c r="I171" s="41"/>
    </row>
    <row r="172" spans="1:9" x14ac:dyDescent="0.3">
      <c r="A172" s="41"/>
      <c r="B172" s="48" t="s">
        <v>57</v>
      </c>
      <c r="C172" s="49" t="s">
        <v>55</v>
      </c>
      <c r="D172" s="41"/>
      <c r="E172" s="43" t="s">
        <v>55</v>
      </c>
      <c r="F172" s="50" t="s">
        <v>55</v>
      </c>
      <c r="G172" s="41"/>
      <c r="H172" s="41"/>
      <c r="I172" s="41"/>
    </row>
    <row r="173" spans="1:9" x14ac:dyDescent="0.3">
      <c r="A173" s="41"/>
      <c r="B173" s="48" t="s">
        <v>55</v>
      </c>
      <c r="C173" s="41"/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16</v>
      </c>
      <c r="C174" s="49" t="s">
        <v>55</v>
      </c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55</v>
      </c>
      <c r="C175" s="41"/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17</v>
      </c>
      <c r="C176" s="49" t="s">
        <v>55</v>
      </c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48" t="s">
        <v>55</v>
      </c>
      <c r="C177" s="41"/>
      <c r="D177" s="41"/>
      <c r="E177" s="41"/>
      <c r="F177" s="51" t="s">
        <v>55</v>
      </c>
      <c r="G177" s="41"/>
      <c r="H177" s="41"/>
      <c r="I177" s="41"/>
    </row>
    <row r="178" spans="1:9" x14ac:dyDescent="0.3">
      <c r="A178" s="41"/>
      <c r="B178" s="52" t="s">
        <v>18</v>
      </c>
      <c r="C178" s="53" t="s">
        <v>55</v>
      </c>
      <c r="D178" s="54" t="s">
        <v>55</v>
      </c>
      <c r="E178" s="54" t="s">
        <v>55</v>
      </c>
      <c r="F178" s="55" t="s">
        <v>55</v>
      </c>
      <c r="G178" s="41"/>
      <c r="H178" s="41"/>
      <c r="I178" s="41"/>
    </row>
    <row r="179" spans="1:9" x14ac:dyDescent="0.3">
      <c r="A179" s="41"/>
      <c r="B179" s="41"/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2" t="s">
        <v>118</v>
      </c>
      <c r="C180" s="41"/>
      <c r="D180" s="41"/>
      <c r="E180" s="41"/>
      <c r="F180" s="41"/>
      <c r="G180" s="41"/>
      <c r="H180" s="41"/>
      <c r="I180" s="41"/>
    </row>
    <row r="181" spans="1:9" x14ac:dyDescent="0.3">
      <c r="A181" s="41"/>
      <c r="B181" s="41" t="s">
        <v>117</v>
      </c>
      <c r="C181" s="4">
        <v>0</v>
      </c>
      <c r="D181" s="4">
        <v>0</v>
      </c>
      <c r="E181" s="6"/>
      <c r="F181" s="7"/>
      <c r="H181" s="4">
        <v>0</v>
      </c>
      <c r="I181" s="1">
        <f>H181-C181</f>
        <v>0</v>
      </c>
    </row>
    <row r="182" spans="1:9" x14ac:dyDescent="0.3">
      <c r="A182" s="41"/>
      <c r="B182" s="41" t="s">
        <v>119</v>
      </c>
      <c r="C182" s="4">
        <v>0</v>
      </c>
      <c r="D182" s="4">
        <v>0</v>
      </c>
      <c r="E182" s="6"/>
      <c r="F182" s="7"/>
      <c r="H182" s="4">
        <v>0</v>
      </c>
      <c r="I182" s="1">
        <f t="shared" ref="I182:I187" si="31">H182-C182</f>
        <v>0</v>
      </c>
    </row>
    <row r="183" spans="1:9" x14ac:dyDescent="0.3">
      <c r="A183" s="41"/>
      <c r="B183" s="41" t="s">
        <v>120</v>
      </c>
      <c r="C183" s="4">
        <v>0</v>
      </c>
      <c r="D183" s="4">
        <v>0</v>
      </c>
      <c r="E183" s="6"/>
      <c r="F183" s="7"/>
      <c r="H183" s="4">
        <v>0</v>
      </c>
      <c r="I183" s="1">
        <f t="shared" si="31"/>
        <v>0</v>
      </c>
    </row>
    <row r="184" spans="1:9" x14ac:dyDescent="0.3">
      <c r="A184" s="41"/>
      <c r="B184" s="41" t="s">
        <v>121</v>
      </c>
      <c r="C184" s="4">
        <v>0</v>
      </c>
      <c r="D184" s="4">
        <v>0</v>
      </c>
      <c r="E184" s="6"/>
      <c r="F184" s="7"/>
      <c r="H184" s="4">
        <v>0</v>
      </c>
      <c r="I184" s="1">
        <f t="shared" si="31"/>
        <v>0</v>
      </c>
    </row>
    <row r="185" spans="1:9" x14ac:dyDescent="0.3">
      <c r="A185" s="41"/>
      <c r="B185" s="41" t="s">
        <v>122</v>
      </c>
      <c r="C185" s="4">
        <v>0</v>
      </c>
      <c r="D185" s="4">
        <v>0</v>
      </c>
      <c r="E185" s="6"/>
      <c r="F185" s="7"/>
      <c r="H185" s="4">
        <v>0</v>
      </c>
      <c r="I185" s="1">
        <f t="shared" si="31"/>
        <v>0</v>
      </c>
    </row>
    <row r="186" spans="1:9" x14ac:dyDescent="0.3">
      <c r="A186" s="41"/>
      <c r="B186" s="41" t="s">
        <v>123</v>
      </c>
      <c r="C186" s="4">
        <v>0</v>
      </c>
      <c r="D186" s="4">
        <v>0</v>
      </c>
      <c r="E186" s="6"/>
      <c r="F186" s="7"/>
      <c r="H186" s="4">
        <v>0</v>
      </c>
      <c r="I186" s="1">
        <f t="shared" si="31"/>
        <v>0</v>
      </c>
    </row>
    <row r="187" spans="1:9" x14ac:dyDescent="0.3">
      <c r="A187" s="41"/>
      <c r="B187" s="41" t="s">
        <v>124</v>
      </c>
      <c r="C187" s="4">
        <v>0</v>
      </c>
      <c r="D187" s="4">
        <v>0</v>
      </c>
      <c r="E187" s="6"/>
      <c r="F187" s="7"/>
      <c r="H187" s="4">
        <v>0</v>
      </c>
      <c r="I187" s="1">
        <f t="shared" si="31"/>
        <v>0</v>
      </c>
    </row>
    <row r="188" spans="1:9" x14ac:dyDescent="0.3">
      <c r="A188" s="41"/>
      <c r="B188" s="41" t="s">
        <v>29</v>
      </c>
      <c r="C188" s="2">
        <f>SUM(C181:C187)</f>
        <v>0</v>
      </c>
      <c r="D188" s="2">
        <f>SUM(D181:D187)</f>
        <v>0</v>
      </c>
      <c r="E188" s="6"/>
      <c r="F188" s="7"/>
      <c r="H188" s="2">
        <f>SUM(H181:H187)</f>
        <v>0</v>
      </c>
      <c r="I188" s="2">
        <f>SUM(I181:I187)</f>
        <v>0</v>
      </c>
    </row>
    <row r="189" spans="1:9" x14ac:dyDescent="0.3">
      <c r="A189" s="41"/>
      <c r="B189" s="41" t="s">
        <v>125</v>
      </c>
      <c r="C189" s="4">
        <v>0</v>
      </c>
      <c r="D189" s="4">
        <v>0</v>
      </c>
      <c r="E189" s="6"/>
      <c r="F189" s="7"/>
      <c r="H189" s="4">
        <v>0</v>
      </c>
      <c r="I189" s="1">
        <f>H189-C189</f>
        <v>0</v>
      </c>
    </row>
    <row r="190" spans="1:9" x14ac:dyDescent="0.3">
      <c r="A190" s="41"/>
      <c r="B190" s="41" t="s">
        <v>126</v>
      </c>
      <c r="C190" s="4">
        <v>0</v>
      </c>
      <c r="D190" s="4">
        <v>0</v>
      </c>
      <c r="E190" s="6"/>
      <c r="F190" s="7"/>
      <c r="H190" s="4">
        <v>0</v>
      </c>
      <c r="I190" s="1">
        <f t="shared" ref="I190:I195" si="32">H190-C190</f>
        <v>0</v>
      </c>
    </row>
    <row r="191" spans="1:9" x14ac:dyDescent="0.3">
      <c r="A191" s="41"/>
      <c r="B191" s="41" t="s">
        <v>127</v>
      </c>
      <c r="C191" s="4">
        <v>0</v>
      </c>
      <c r="D191" s="4">
        <v>0</v>
      </c>
      <c r="E191" s="6"/>
      <c r="F191" s="7"/>
      <c r="H191" s="4">
        <v>0</v>
      </c>
      <c r="I191" s="1">
        <f t="shared" si="32"/>
        <v>0</v>
      </c>
    </row>
    <row r="192" spans="1:9" x14ac:dyDescent="0.3">
      <c r="A192" s="41"/>
      <c r="B192" s="41" t="s">
        <v>128</v>
      </c>
      <c r="C192" s="4">
        <v>0</v>
      </c>
      <c r="D192" s="4">
        <v>0</v>
      </c>
      <c r="E192" s="6"/>
      <c r="F192" s="7"/>
      <c r="H192" s="4">
        <v>0</v>
      </c>
      <c r="I192" s="1">
        <f t="shared" si="32"/>
        <v>0</v>
      </c>
    </row>
    <row r="193" spans="1:9" x14ac:dyDescent="0.3">
      <c r="A193" s="41"/>
      <c r="B193" s="41" t="s">
        <v>129</v>
      </c>
      <c r="C193" s="4">
        <v>0</v>
      </c>
      <c r="D193" s="4">
        <v>0</v>
      </c>
      <c r="E193" s="6"/>
      <c r="F193" s="7"/>
      <c r="H193" s="4">
        <v>0</v>
      </c>
      <c r="I193" s="1">
        <f t="shared" si="32"/>
        <v>0</v>
      </c>
    </row>
    <row r="194" spans="1:9" x14ac:dyDescent="0.3">
      <c r="A194" s="41"/>
      <c r="B194" s="41" t="s">
        <v>130</v>
      </c>
      <c r="C194" s="4">
        <v>0</v>
      </c>
      <c r="D194" s="4">
        <v>0</v>
      </c>
      <c r="E194" s="6"/>
      <c r="F194" s="7"/>
      <c r="H194" s="4">
        <v>0</v>
      </c>
      <c r="I194" s="1">
        <f t="shared" si="32"/>
        <v>0</v>
      </c>
    </row>
    <row r="195" spans="1:9" x14ac:dyDescent="0.3">
      <c r="A195" s="41"/>
      <c r="B195" s="41" t="s">
        <v>131</v>
      </c>
      <c r="C195" s="4">
        <v>0</v>
      </c>
      <c r="D195" s="4">
        <v>0</v>
      </c>
      <c r="E195" s="6"/>
      <c r="F195" s="7"/>
      <c r="H195" s="4">
        <v>0</v>
      </c>
      <c r="I195" s="1">
        <f t="shared" si="32"/>
        <v>0</v>
      </c>
    </row>
    <row r="196" spans="1:9" x14ac:dyDescent="0.3">
      <c r="A196" s="41"/>
      <c r="B196" s="41" t="s">
        <v>29</v>
      </c>
      <c r="C196" s="2">
        <f>SUM(C189:C195)</f>
        <v>0</v>
      </c>
      <c r="D196" s="2">
        <f>SUM(D189:D195)</f>
        <v>0</v>
      </c>
      <c r="E196" s="6"/>
      <c r="F196" s="7"/>
      <c r="H196" s="2">
        <f>SUM(H189:H195)</f>
        <v>0</v>
      </c>
      <c r="I196" s="2">
        <f>SUM(I189:I195)</f>
        <v>0</v>
      </c>
    </row>
    <row r="197" spans="1:9" x14ac:dyDescent="0.3">
      <c r="A197" s="41"/>
      <c r="B197" s="41" t="s">
        <v>132</v>
      </c>
      <c r="C197" s="4">
        <v>0</v>
      </c>
      <c r="D197" s="4">
        <v>0</v>
      </c>
      <c r="E197" s="6"/>
      <c r="F197" s="7"/>
      <c r="H197" s="4">
        <v>0</v>
      </c>
      <c r="I197" s="1">
        <f>H197-C197</f>
        <v>0</v>
      </c>
    </row>
    <row r="198" spans="1:9" x14ac:dyDescent="0.3">
      <c r="A198" s="41"/>
      <c r="B198" s="41" t="s">
        <v>133</v>
      </c>
      <c r="C198" s="4">
        <v>0</v>
      </c>
      <c r="D198" s="4">
        <v>0</v>
      </c>
      <c r="E198" s="6"/>
      <c r="F198" s="7"/>
      <c r="H198" s="4">
        <v>0</v>
      </c>
      <c r="I198" s="1">
        <f t="shared" ref="I198:I203" si="33">H198-C198</f>
        <v>0</v>
      </c>
    </row>
    <row r="199" spans="1:9" x14ac:dyDescent="0.3">
      <c r="A199" s="41"/>
      <c r="B199" s="41" t="s">
        <v>134</v>
      </c>
      <c r="C199" s="4">
        <v>0</v>
      </c>
      <c r="D199" s="4">
        <v>0</v>
      </c>
      <c r="E199" s="6"/>
      <c r="F199" s="7"/>
      <c r="H199" s="4">
        <v>0</v>
      </c>
      <c r="I199" s="1">
        <f t="shared" si="33"/>
        <v>0</v>
      </c>
    </row>
    <row r="200" spans="1:9" x14ac:dyDescent="0.3">
      <c r="A200" s="41"/>
      <c r="B200" s="41" t="s">
        <v>135</v>
      </c>
      <c r="C200" s="4">
        <v>0</v>
      </c>
      <c r="D200" s="4">
        <v>0</v>
      </c>
      <c r="E200" s="6"/>
      <c r="F200" s="7"/>
      <c r="H200" s="4">
        <v>0</v>
      </c>
      <c r="I200" s="1">
        <f t="shared" si="33"/>
        <v>0</v>
      </c>
    </row>
    <row r="201" spans="1:9" x14ac:dyDescent="0.3">
      <c r="A201" s="41"/>
      <c r="B201" s="41" t="s">
        <v>136</v>
      </c>
      <c r="C201" s="4">
        <v>0</v>
      </c>
      <c r="D201" s="4">
        <v>0</v>
      </c>
      <c r="E201" s="6"/>
      <c r="F201" s="7"/>
      <c r="H201" s="4">
        <v>0</v>
      </c>
      <c r="I201" s="1">
        <f t="shared" si="33"/>
        <v>0</v>
      </c>
    </row>
    <row r="202" spans="1:9" x14ac:dyDescent="0.3">
      <c r="A202" s="41"/>
      <c r="B202" s="41" t="s">
        <v>137</v>
      </c>
      <c r="C202" s="4">
        <v>0</v>
      </c>
      <c r="D202" s="4">
        <v>0</v>
      </c>
      <c r="E202" s="6"/>
      <c r="F202" s="7"/>
      <c r="H202" s="4">
        <v>0</v>
      </c>
      <c r="I202" s="1">
        <f t="shared" si="33"/>
        <v>0</v>
      </c>
    </row>
    <row r="203" spans="1:9" x14ac:dyDescent="0.3">
      <c r="A203" s="41"/>
      <c r="B203" s="41" t="s">
        <v>138</v>
      </c>
      <c r="C203" s="4">
        <v>0</v>
      </c>
      <c r="D203" s="4">
        <v>0</v>
      </c>
      <c r="E203" s="6"/>
      <c r="F203" s="7"/>
      <c r="H203" s="4">
        <v>0</v>
      </c>
      <c r="I203" s="1">
        <f t="shared" si="33"/>
        <v>0</v>
      </c>
    </row>
    <row r="204" spans="1:9" x14ac:dyDescent="0.3">
      <c r="A204" s="41"/>
      <c r="B204" s="41" t="s">
        <v>29</v>
      </c>
      <c r="C204" s="2">
        <f>SUM(C197:C203)</f>
        <v>0</v>
      </c>
      <c r="D204" s="2">
        <f>SUM(D197:D203)</f>
        <v>0</v>
      </c>
      <c r="E204" s="6"/>
      <c r="F204" s="7"/>
      <c r="H204" s="2">
        <f>SUM(H197:H203)</f>
        <v>0</v>
      </c>
      <c r="I204" s="2">
        <f>SUM(I197:I203)</f>
        <v>0</v>
      </c>
    </row>
    <row r="205" spans="1:9" x14ac:dyDescent="0.3">
      <c r="A205" s="41"/>
      <c r="B205" s="41" t="s">
        <v>139</v>
      </c>
      <c r="C205" s="4">
        <v>0</v>
      </c>
      <c r="D205" s="4">
        <v>0</v>
      </c>
      <c r="E205" s="6"/>
      <c r="F205" s="7"/>
      <c r="H205" s="4">
        <v>0</v>
      </c>
      <c r="I205" s="1">
        <f>H205-C205</f>
        <v>0</v>
      </c>
    </row>
    <row r="206" spans="1:9" x14ac:dyDescent="0.3">
      <c r="A206" s="41"/>
      <c r="B206" s="41" t="s">
        <v>140</v>
      </c>
      <c r="C206" s="4">
        <v>0</v>
      </c>
      <c r="D206" s="4">
        <v>0</v>
      </c>
      <c r="E206" s="6"/>
      <c r="F206" s="7"/>
      <c r="H206" s="4">
        <v>0</v>
      </c>
      <c r="I206" s="1">
        <f t="shared" ref="I206:I211" si="34">H206-C206</f>
        <v>0</v>
      </c>
    </row>
    <row r="207" spans="1:9" x14ac:dyDescent="0.3">
      <c r="A207" s="41"/>
      <c r="B207" s="41" t="s">
        <v>141</v>
      </c>
      <c r="C207" s="4">
        <v>0</v>
      </c>
      <c r="D207" s="4">
        <v>0</v>
      </c>
      <c r="E207" s="6"/>
      <c r="F207" s="7"/>
      <c r="H207" s="4">
        <v>0</v>
      </c>
      <c r="I207" s="1">
        <f t="shared" si="34"/>
        <v>0</v>
      </c>
    </row>
    <row r="208" spans="1:9" x14ac:dyDescent="0.3">
      <c r="A208" s="41"/>
      <c r="B208" s="41" t="s">
        <v>142</v>
      </c>
      <c r="C208" s="4">
        <v>0</v>
      </c>
      <c r="D208" s="4">
        <v>0</v>
      </c>
      <c r="E208" s="6"/>
      <c r="F208" s="7"/>
      <c r="H208" s="4">
        <v>0</v>
      </c>
      <c r="I208" s="1">
        <f t="shared" si="34"/>
        <v>0</v>
      </c>
    </row>
    <row r="209" spans="1:9" x14ac:dyDescent="0.3">
      <c r="A209" s="41"/>
      <c r="B209" s="41" t="s">
        <v>143</v>
      </c>
      <c r="C209" s="4">
        <v>0</v>
      </c>
      <c r="D209" s="4">
        <v>0</v>
      </c>
      <c r="E209" s="6"/>
      <c r="F209" s="7"/>
      <c r="H209" s="4">
        <v>0</v>
      </c>
      <c r="I209" s="1">
        <f t="shared" si="34"/>
        <v>0</v>
      </c>
    </row>
    <row r="210" spans="1:9" x14ac:dyDescent="0.3">
      <c r="A210" s="41"/>
      <c r="B210" s="41" t="s">
        <v>144</v>
      </c>
      <c r="C210" s="4">
        <v>0</v>
      </c>
      <c r="D210" s="4">
        <v>0</v>
      </c>
      <c r="E210" s="6"/>
      <c r="F210" s="7"/>
      <c r="H210" s="4">
        <v>0</v>
      </c>
      <c r="I210" s="1">
        <f t="shared" si="34"/>
        <v>0</v>
      </c>
    </row>
    <row r="211" spans="1:9" x14ac:dyDescent="0.3">
      <c r="A211" s="41"/>
      <c r="B211" s="41" t="s">
        <v>145</v>
      </c>
      <c r="C211" s="4"/>
      <c r="D211" s="4">
        <v>0</v>
      </c>
      <c r="E211" s="6"/>
      <c r="F211" s="7"/>
      <c r="H211" s="4">
        <v>0</v>
      </c>
      <c r="I211" s="1">
        <f t="shared" si="34"/>
        <v>0</v>
      </c>
    </row>
    <row r="212" spans="1:9" x14ac:dyDescent="0.3">
      <c r="A212" s="41"/>
      <c r="B212" s="41" t="s">
        <v>11</v>
      </c>
      <c r="C212" s="2">
        <f>SUM(C205:C211)</f>
        <v>0</v>
      </c>
      <c r="D212" s="2">
        <f>SUM(D205:D211)</f>
        <v>0</v>
      </c>
      <c r="E212" s="6"/>
      <c r="F212" s="7"/>
      <c r="H212" s="2">
        <f t="shared" ref="H212:I212" si="35">SUM(H205:H211)</f>
        <v>0</v>
      </c>
      <c r="I212" s="2">
        <f t="shared" si="35"/>
        <v>0</v>
      </c>
    </row>
    <row r="213" spans="1:9" x14ac:dyDescent="0.3">
      <c r="A213" s="41"/>
      <c r="B213" s="41" t="s">
        <v>12</v>
      </c>
      <c r="C213" s="3">
        <f>SUM(C212+C204+C196+C188)</f>
        <v>0</v>
      </c>
      <c r="D213" s="3">
        <f>SUM(D212+D204+D196+D188)</f>
        <v>0</v>
      </c>
      <c r="E213" s="6"/>
      <c r="F213" s="7"/>
      <c r="H213" s="3">
        <f t="shared" ref="H213:I213" si="36">SUM(H212+H204+H196+H188)</f>
        <v>0</v>
      </c>
      <c r="I213" s="3">
        <f t="shared" si="36"/>
        <v>0</v>
      </c>
    </row>
    <row r="214" spans="1:9" x14ac:dyDescent="0.3">
      <c r="A214" s="41"/>
      <c r="B214" s="41" t="s">
        <v>13</v>
      </c>
      <c r="C214" s="1">
        <f>D213+C213</f>
        <v>0</v>
      </c>
      <c r="E214" s="24"/>
      <c r="F214" s="25"/>
      <c r="H214" s="1">
        <f t="shared" ref="H214:I214" si="37">I213+H213</f>
        <v>0</v>
      </c>
      <c r="I214" s="1">
        <f t="shared" si="37"/>
        <v>0</v>
      </c>
    </row>
    <row r="215" spans="1:9" x14ac:dyDescent="0.3">
      <c r="A215" s="41"/>
      <c r="B215" s="44" t="s">
        <v>55</v>
      </c>
      <c r="C215" s="45" t="s">
        <v>146</v>
      </c>
      <c r="D215" s="45" t="s">
        <v>14</v>
      </c>
      <c r="E215" s="46"/>
      <c r="F215" s="47" t="s">
        <v>55</v>
      </c>
      <c r="G215" s="41"/>
      <c r="H215" s="41"/>
      <c r="I215" s="41"/>
    </row>
    <row r="216" spans="1:9" x14ac:dyDescent="0.3">
      <c r="A216" s="41"/>
      <c r="B216" s="48" t="s">
        <v>57</v>
      </c>
      <c r="C216" s="49" t="s">
        <v>55</v>
      </c>
      <c r="D216" s="41"/>
      <c r="E216" s="43" t="s">
        <v>55</v>
      </c>
      <c r="F216" s="50" t="s">
        <v>55</v>
      </c>
      <c r="G216" s="41"/>
      <c r="H216" s="41"/>
      <c r="I216" s="41"/>
    </row>
    <row r="217" spans="1:9" x14ac:dyDescent="0.3">
      <c r="A217" s="41"/>
      <c r="B217" s="48" t="s">
        <v>55</v>
      </c>
      <c r="C217" s="41"/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16</v>
      </c>
      <c r="C218" s="49" t="s">
        <v>55</v>
      </c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55</v>
      </c>
      <c r="C219" s="41"/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17</v>
      </c>
      <c r="C220" s="49" t="s">
        <v>55</v>
      </c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48" t="s">
        <v>55</v>
      </c>
      <c r="C221" s="41"/>
      <c r="D221" s="41"/>
      <c r="E221" s="41"/>
      <c r="F221" s="51" t="s">
        <v>55</v>
      </c>
      <c r="G221" s="41"/>
      <c r="H221" s="41"/>
      <c r="I221" s="41"/>
    </row>
    <row r="222" spans="1:9" x14ac:dyDescent="0.3">
      <c r="A222" s="41"/>
      <c r="B222" s="52" t="s">
        <v>18</v>
      </c>
      <c r="C222" s="53" t="s">
        <v>55</v>
      </c>
      <c r="D222" s="54" t="s">
        <v>55</v>
      </c>
      <c r="E222" s="54" t="s">
        <v>55</v>
      </c>
      <c r="F222" s="55" t="s">
        <v>55</v>
      </c>
      <c r="G222" s="41"/>
      <c r="H222" s="41"/>
      <c r="I222" s="41"/>
    </row>
    <row r="223" spans="1:9" x14ac:dyDescent="0.3">
      <c r="A223" s="41"/>
      <c r="B223" s="41"/>
      <c r="C223" s="41"/>
      <c r="D223" s="41"/>
      <c r="E223" s="41"/>
      <c r="F223" s="41"/>
      <c r="G223" s="41"/>
      <c r="H223" s="41"/>
      <c r="I223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6BD5A-3A40-47E5-B33B-C8DF3E094B96}">
  <sheetPr codeName="Sheet21"/>
  <dimension ref="A1:I222"/>
  <sheetViews>
    <sheetView showGridLines="0" workbookViewId="0">
      <pane xSplit="2" ySplit="3" topLeftCell="C92" activePane="bottomRight" state="frozen"/>
      <selection pane="topRight" activeCell="C23" sqref="C23"/>
      <selection pane="bottomLeft" activeCell="C23" sqref="C23"/>
      <selection pane="bottomRight" activeCell="H67" sqref="H67"/>
    </sheetView>
  </sheetViews>
  <sheetFormatPr defaultColWidth="8.88671875" defaultRowHeight="14.4" x14ac:dyDescent="0.3"/>
  <cols>
    <col min="1" max="1" width="7.44140625" customWidth="1"/>
    <col min="2" max="2" width="35" style="16" customWidth="1"/>
    <col min="3" max="4" width="10.33203125" customWidth="1"/>
    <col min="5" max="5" width="11.44140625" customWidth="1"/>
    <col min="6" max="6" width="55.33203125" customWidth="1"/>
    <col min="7" max="7" width="1.44140625" customWidth="1"/>
    <col min="8" max="8" width="11.44140625" customWidth="1"/>
  </cols>
  <sheetData>
    <row r="1" spans="2:9" ht="18.75" customHeight="1" x14ac:dyDescent="0.3">
      <c r="B1" s="15"/>
      <c r="C1" s="14" t="s">
        <v>510</v>
      </c>
      <c r="D1" s="14"/>
    </row>
    <row r="2" spans="2:9" x14ac:dyDescent="0.3">
      <c r="C2" s="5" t="s">
        <v>1</v>
      </c>
      <c r="D2" s="5"/>
    </row>
    <row r="3" spans="2:9" ht="57.6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-500</v>
      </c>
      <c r="D4" s="4">
        <v>0</v>
      </c>
      <c r="E4" s="6" t="s">
        <v>227</v>
      </c>
      <c r="F4" s="7"/>
      <c r="H4" s="4"/>
      <c r="I4" s="1">
        <f>H4-C4</f>
        <v>500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/>
      <c r="I5" s="1">
        <f t="shared" ref="I5:I10" si="0">H5-C5</f>
        <v>0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/>
      <c r="I6" s="1">
        <f t="shared" si="0"/>
        <v>0</v>
      </c>
    </row>
    <row r="7" spans="2:9" x14ac:dyDescent="0.3">
      <c r="B7" s="20">
        <f t="shared" si="1"/>
        <v>46246</v>
      </c>
      <c r="C7" s="4">
        <v>-1070</v>
      </c>
      <c r="D7" s="4">
        <v>2570</v>
      </c>
      <c r="E7" s="6" t="s">
        <v>227</v>
      </c>
      <c r="F7" s="7"/>
      <c r="H7" s="4"/>
      <c r="I7" s="1">
        <f t="shared" si="0"/>
        <v>1070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-500</v>
      </c>
      <c r="D9" s="4">
        <v>0</v>
      </c>
      <c r="E9" s="6" t="s">
        <v>227</v>
      </c>
      <c r="F9" s="7"/>
      <c r="H9" s="4"/>
      <c r="I9" s="1">
        <f t="shared" si="0"/>
        <v>500</v>
      </c>
    </row>
    <row r="10" spans="2:9" ht="15" thickBot="1" x14ac:dyDescent="0.35">
      <c r="B10" s="20">
        <f t="shared" si="1"/>
        <v>46249</v>
      </c>
      <c r="C10" s="4">
        <v>-500</v>
      </c>
      <c r="D10" s="4">
        <v>0</v>
      </c>
      <c r="E10" s="6" t="s">
        <v>511</v>
      </c>
      <c r="F10" s="7"/>
      <c r="H10" s="4"/>
      <c r="I10" s="1">
        <f t="shared" si="0"/>
        <v>500</v>
      </c>
    </row>
    <row r="11" spans="2:9" x14ac:dyDescent="0.3">
      <c r="B11" s="21" t="s">
        <v>11</v>
      </c>
      <c r="C11" s="2">
        <f>SUM(C4:C10)</f>
        <v>-2570</v>
      </c>
      <c r="D11" s="2">
        <f>SUM(D4:D10)</f>
        <v>2570</v>
      </c>
      <c r="E11" s="6"/>
      <c r="F11" s="7"/>
      <c r="H11" s="2">
        <f>SUM(H4:H10)</f>
        <v>0</v>
      </c>
      <c r="I11" s="2">
        <f>SUM(I4:I10)</f>
        <v>2570</v>
      </c>
    </row>
    <row r="12" spans="2:9" x14ac:dyDescent="0.3">
      <c r="B12" s="20">
        <f>B10+1</f>
        <v>46250</v>
      </c>
      <c r="C12" s="4">
        <v>-500</v>
      </c>
      <c r="D12" s="4">
        <v>0</v>
      </c>
      <c r="E12" s="6" t="s">
        <v>227</v>
      </c>
      <c r="F12" s="7"/>
      <c r="H12" s="4"/>
      <c r="I12" s="1">
        <f>H12-C12</f>
        <v>500</v>
      </c>
    </row>
    <row r="13" spans="2:9" x14ac:dyDescent="0.3">
      <c r="B13" s="20">
        <f>B12+1</f>
        <v>46251</v>
      </c>
      <c r="C13" s="4">
        <v>0</v>
      </c>
      <c r="D13" s="4">
        <v>0</v>
      </c>
      <c r="E13" s="6"/>
      <c r="F13" s="7"/>
      <c r="H13" s="4"/>
      <c r="I13" s="1">
        <f t="shared" ref="I13:I18" si="2">H13-C13</f>
        <v>0</v>
      </c>
    </row>
    <row r="14" spans="2:9" x14ac:dyDescent="0.3">
      <c r="B14" s="20">
        <f t="shared" ref="B14:B18" si="3">B13+1</f>
        <v>46252</v>
      </c>
      <c r="C14" s="4">
        <v>0</v>
      </c>
      <c r="D14" s="4">
        <v>2550</v>
      </c>
      <c r="E14" s="6" t="s">
        <v>511</v>
      </c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-500</v>
      </c>
      <c r="D15" s="4">
        <v>0</v>
      </c>
      <c r="E15" s="6" t="s">
        <v>227</v>
      </c>
      <c r="F15" s="7"/>
      <c r="H15" s="4"/>
      <c r="I15" s="1">
        <f t="shared" si="2"/>
        <v>500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/>
      <c r="I16" s="1">
        <f t="shared" si="2"/>
        <v>0</v>
      </c>
    </row>
    <row r="17" spans="2:9" x14ac:dyDescent="0.3">
      <c r="B17" s="20">
        <f t="shared" si="3"/>
        <v>46255</v>
      </c>
      <c r="C17" s="4">
        <v>-500</v>
      </c>
      <c r="D17" s="4">
        <v>0</v>
      </c>
      <c r="E17" s="6" t="s">
        <v>227</v>
      </c>
      <c r="F17" s="7"/>
      <c r="H17" s="4"/>
      <c r="I17" s="1">
        <f t="shared" si="2"/>
        <v>500</v>
      </c>
    </row>
    <row r="18" spans="2:9" ht="15" thickBot="1" x14ac:dyDescent="0.35">
      <c r="B18" s="20">
        <f t="shared" si="3"/>
        <v>46256</v>
      </c>
      <c r="C18" s="4">
        <v>-500</v>
      </c>
      <c r="D18" s="4">
        <v>0</v>
      </c>
      <c r="E18" s="6" t="s">
        <v>511</v>
      </c>
      <c r="F18" s="7"/>
      <c r="H18" s="4"/>
      <c r="I18" s="1">
        <f t="shared" si="2"/>
        <v>500</v>
      </c>
    </row>
    <row r="19" spans="2:9" x14ac:dyDescent="0.3">
      <c r="B19" s="21" t="s">
        <v>11</v>
      </c>
      <c r="C19" s="2">
        <f>SUM(C12:C18)</f>
        <v>-2000</v>
      </c>
      <c r="D19" s="2">
        <f>SUM(D12:D18)</f>
        <v>2550</v>
      </c>
      <c r="E19" s="6"/>
      <c r="F19" s="7"/>
      <c r="H19" s="2">
        <f>SUM(H12:H18)</f>
        <v>0</v>
      </c>
      <c r="I19" s="2">
        <f>SUM(I12:I18)</f>
        <v>2000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/>
      <c r="I20" s="1">
        <f>H20-C20</f>
        <v>0</v>
      </c>
    </row>
    <row r="21" spans="2:9" x14ac:dyDescent="0.3">
      <c r="B21" s="20">
        <f>B20+1</f>
        <v>46258</v>
      </c>
      <c r="C21" s="4">
        <v>-500</v>
      </c>
      <c r="D21" s="4">
        <v>0</v>
      </c>
      <c r="E21" s="6" t="s">
        <v>511</v>
      </c>
      <c r="F21" s="7"/>
      <c r="H21" s="4"/>
      <c r="I21" s="1">
        <f t="shared" ref="I21:I26" si="4">H21-C21</f>
        <v>500</v>
      </c>
    </row>
    <row r="22" spans="2:9" x14ac:dyDescent="0.3">
      <c r="B22" s="20">
        <f t="shared" ref="B22:B26" si="5">B21+1</f>
        <v>46259</v>
      </c>
      <c r="C22" s="4">
        <v>0</v>
      </c>
      <c r="D22" s="4">
        <v>2570</v>
      </c>
      <c r="E22" s="6" t="s">
        <v>511</v>
      </c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/>
      <c r="F23" s="7"/>
      <c r="H23" s="4"/>
      <c r="I23" s="1">
        <f t="shared" si="4"/>
        <v>0</v>
      </c>
    </row>
    <row r="24" spans="2:9" x14ac:dyDescent="0.3">
      <c r="B24" s="20">
        <f t="shared" si="5"/>
        <v>46261</v>
      </c>
      <c r="C24" s="4">
        <v>-145</v>
      </c>
      <c r="D24" s="4">
        <v>0</v>
      </c>
      <c r="E24" s="6" t="s">
        <v>227</v>
      </c>
      <c r="F24" s="7"/>
      <c r="H24" s="4"/>
      <c r="I24" s="1">
        <f t="shared" si="4"/>
        <v>145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/>
      <c r="I25" s="1">
        <f t="shared" si="4"/>
        <v>0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/>
      <c r="F26" s="7"/>
      <c r="H26" s="4"/>
      <c r="I26" s="1">
        <f t="shared" si="4"/>
        <v>0</v>
      </c>
    </row>
    <row r="27" spans="2:9" x14ac:dyDescent="0.3">
      <c r="B27" s="21" t="s">
        <v>11</v>
      </c>
      <c r="C27" s="2">
        <f>SUM(C20:C26)</f>
        <v>-645</v>
      </c>
      <c r="D27" s="2">
        <f>SUM(D20:D26)</f>
        <v>2570</v>
      </c>
      <c r="E27" s="6"/>
      <c r="F27" s="7"/>
      <c r="H27" s="2">
        <f>SUM(H20:H26)</f>
        <v>0</v>
      </c>
      <c r="I27" s="2">
        <f>SUM(I20:I26)</f>
        <v>645</v>
      </c>
    </row>
    <row r="28" spans="2:9" x14ac:dyDescent="0.3">
      <c r="B28" s="20">
        <f>B26+1</f>
        <v>46264</v>
      </c>
      <c r="C28" s="4">
        <v>-500</v>
      </c>
      <c r="D28" s="4">
        <v>0</v>
      </c>
      <c r="E28" s="6" t="s">
        <v>511</v>
      </c>
      <c r="F28" s="7"/>
      <c r="H28" s="4"/>
      <c r="I28" s="1">
        <f>H28-C28</f>
        <v>500</v>
      </c>
    </row>
    <row r="29" spans="2:9" x14ac:dyDescent="0.3">
      <c r="B29" s="20">
        <f>B28+1</f>
        <v>46265</v>
      </c>
      <c r="C29" s="4">
        <v>-500</v>
      </c>
      <c r="D29" s="4">
        <v>0</v>
      </c>
      <c r="E29" s="6" t="s">
        <v>511</v>
      </c>
      <c r="F29" s="7"/>
      <c r="H29" s="4"/>
      <c r="I29" s="1">
        <f t="shared" ref="I29:I34" si="6">H29-C29</f>
        <v>500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/>
      <c r="I30" s="1">
        <f t="shared" si="6"/>
        <v>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/>
      <c r="I31" s="1">
        <f t="shared" si="6"/>
        <v>0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/>
      <c r="I32" s="1">
        <f t="shared" si="6"/>
        <v>0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/>
      <c r="I33" s="1">
        <f t="shared" si="6"/>
        <v>0</v>
      </c>
    </row>
    <row r="34" spans="1:9" ht="15" thickBot="1" x14ac:dyDescent="0.35">
      <c r="B34" s="20">
        <f t="shared" si="7"/>
        <v>46270</v>
      </c>
      <c r="C34" s="4">
        <v>-500</v>
      </c>
      <c r="D34" s="4">
        <v>0</v>
      </c>
      <c r="E34" s="6" t="s">
        <v>227</v>
      </c>
      <c r="F34" s="7"/>
      <c r="H34" s="4"/>
      <c r="I34" s="1">
        <f t="shared" si="6"/>
        <v>500</v>
      </c>
    </row>
    <row r="35" spans="1:9" x14ac:dyDescent="0.3">
      <c r="B35" s="19" t="s">
        <v>11</v>
      </c>
      <c r="C35" s="2">
        <f>SUM(C28:C34)</f>
        <v>-1500</v>
      </c>
      <c r="D35" s="2">
        <f>SUM(D28:D34)</f>
        <v>0</v>
      </c>
      <c r="E35" s="6"/>
      <c r="F35" s="7"/>
      <c r="H35" s="2">
        <f t="shared" ref="H35:I35" si="8">SUM(H28:H34)</f>
        <v>0</v>
      </c>
      <c r="I35" s="2">
        <f t="shared" si="8"/>
        <v>1500</v>
      </c>
    </row>
    <row r="36" spans="1:9" x14ac:dyDescent="0.3">
      <c r="B36" s="19" t="s">
        <v>12</v>
      </c>
      <c r="C36" s="3">
        <f>SUM(C35+C27+C19+C11)</f>
        <v>-6715</v>
      </c>
      <c r="D36" s="3">
        <f>SUM(D35+D27+D19+D11)</f>
        <v>7690</v>
      </c>
      <c r="E36" s="6"/>
      <c r="F36" s="7"/>
      <c r="H36" s="3">
        <f t="shared" ref="H36:I36" si="9">SUM(H35+H27+H19+H11)</f>
        <v>0</v>
      </c>
      <c r="I36" s="3">
        <f t="shared" si="9"/>
        <v>6715</v>
      </c>
    </row>
    <row r="37" spans="1:9" ht="15" thickBot="1" x14ac:dyDescent="0.35">
      <c r="B37" s="19" t="s">
        <v>13</v>
      </c>
      <c r="C37" s="1">
        <f>D36+C36</f>
        <v>975</v>
      </c>
      <c r="E37" s="24"/>
      <c r="F37" s="25"/>
      <c r="H37" s="1">
        <f t="shared" ref="H37:I37" si="10">I36+H36</f>
        <v>6715</v>
      </c>
      <c r="I37" s="1">
        <f t="shared" si="10"/>
        <v>6715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2000</v>
      </c>
      <c r="E39" s="6" t="s">
        <v>227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500</v>
      </c>
      <c r="D48" s="4">
        <v>0</v>
      </c>
      <c r="E48" s="6" t="s">
        <v>227</v>
      </c>
      <c r="F48" s="7" t="s">
        <v>512</v>
      </c>
      <c r="H48" s="4">
        <v>693</v>
      </c>
      <c r="I48" s="1">
        <f>H48-C48</f>
        <v>193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511</v>
      </c>
      <c r="F49" s="7" t="s">
        <v>513</v>
      </c>
      <c r="H49" s="4">
        <v>-154</v>
      </c>
      <c r="I49" s="1">
        <f>H49-C49</f>
        <v>-154</v>
      </c>
    </row>
    <row r="50" spans="1:9" x14ac:dyDescent="0.3">
      <c r="A50" s="41"/>
      <c r="B50" s="41" t="s">
        <v>23</v>
      </c>
      <c r="C50" s="4">
        <v>500</v>
      </c>
      <c r="D50" s="4">
        <v>0</v>
      </c>
      <c r="E50" s="6" t="s">
        <v>511</v>
      </c>
      <c r="F50" s="7" t="s">
        <v>512</v>
      </c>
      <c r="H50" s="4">
        <v>479</v>
      </c>
      <c r="I50" s="1">
        <f>H50-C50</f>
        <v>-21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 t="s">
        <v>227</v>
      </c>
      <c r="F51" s="7"/>
      <c r="H51" s="4">
        <v>47</v>
      </c>
      <c r="I51" s="1">
        <f t="shared" ref="I51:I54" si="11">H51-C51</f>
        <v>47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 t="s">
        <v>227</v>
      </c>
      <c r="F52" s="7"/>
      <c r="H52" s="4">
        <v>7</v>
      </c>
      <c r="I52" s="1">
        <f t="shared" si="11"/>
        <v>7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227</v>
      </c>
      <c r="F53" s="7"/>
      <c r="H53" s="4">
        <v>-170</v>
      </c>
      <c r="I53" s="1">
        <f t="shared" si="11"/>
        <v>-170</v>
      </c>
    </row>
    <row r="54" spans="1:9" x14ac:dyDescent="0.3">
      <c r="A54" s="41"/>
      <c r="B54" s="41" t="s">
        <v>27</v>
      </c>
      <c r="C54" s="4">
        <v>500</v>
      </c>
      <c r="D54" s="4">
        <v>0</v>
      </c>
      <c r="E54" s="6" t="s">
        <v>511</v>
      </c>
      <c r="F54" s="7" t="s">
        <v>512</v>
      </c>
      <c r="H54" s="4">
        <v>718</v>
      </c>
      <c r="I54" s="1">
        <f t="shared" si="11"/>
        <v>218</v>
      </c>
    </row>
    <row r="55" spans="1:9" x14ac:dyDescent="0.3">
      <c r="A55" s="41"/>
      <c r="B55" s="41" t="s">
        <v>29</v>
      </c>
      <c r="C55" s="2">
        <f>SUM(C48:C54)</f>
        <v>1500</v>
      </c>
      <c r="D55" s="2">
        <f>SUM(D48:D54)</f>
        <v>0</v>
      </c>
      <c r="E55" s="6"/>
      <c r="F55" s="7"/>
      <c r="H55" s="2">
        <f>SUM(H48:H54)</f>
        <v>1620</v>
      </c>
      <c r="I55" s="2">
        <f>SUM(I48:I54)</f>
        <v>120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227</v>
      </c>
      <c r="F56" s="7"/>
      <c r="H56" s="4">
        <v>46</v>
      </c>
      <c r="I56" s="1">
        <f>H56-C56</f>
        <v>46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511</v>
      </c>
      <c r="F57" s="7"/>
      <c r="H57" s="4">
        <v>37</v>
      </c>
      <c r="I57" s="1">
        <f t="shared" ref="I57:I62" si="12">H57-C57</f>
        <v>37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" t="s">
        <v>511</v>
      </c>
      <c r="F58" s="7"/>
      <c r="H58" s="4">
        <v>19</v>
      </c>
      <c r="I58" s="1">
        <f t="shared" si="12"/>
        <v>19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227</v>
      </c>
      <c r="F59" s="7"/>
      <c r="H59" s="4">
        <v>13</v>
      </c>
      <c r="I59" s="1">
        <f t="shared" si="12"/>
        <v>13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227</v>
      </c>
      <c r="F60" s="7"/>
      <c r="H60" s="4">
        <v>28</v>
      </c>
      <c r="I60" s="1">
        <f t="shared" si="12"/>
        <v>28</v>
      </c>
    </row>
    <row r="61" spans="1:9" x14ac:dyDescent="0.3">
      <c r="A61" s="41"/>
      <c r="B61" s="41" t="s">
        <v>36</v>
      </c>
      <c r="C61" s="4">
        <v>0</v>
      </c>
      <c r="D61" s="4">
        <v>2945</v>
      </c>
      <c r="E61" s="6" t="s">
        <v>227</v>
      </c>
      <c r="F61" s="7" t="s">
        <v>514</v>
      </c>
      <c r="H61" s="4">
        <v>-17</v>
      </c>
      <c r="I61" s="1">
        <f t="shared" si="12"/>
        <v>-17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227</v>
      </c>
      <c r="F62" s="7" t="s">
        <v>515</v>
      </c>
      <c r="H62" s="4">
        <v>63</v>
      </c>
      <c r="I62" s="1">
        <f t="shared" si="12"/>
        <v>63</v>
      </c>
    </row>
    <row r="63" spans="1:9" x14ac:dyDescent="0.3">
      <c r="A63" s="41"/>
      <c r="B63" s="41" t="s">
        <v>29</v>
      </c>
      <c r="C63" s="2">
        <f>SUM(C56:C62)</f>
        <v>0</v>
      </c>
      <c r="D63" s="2">
        <f>SUM(D56:D62)</f>
        <v>2945</v>
      </c>
      <c r="E63" s="6"/>
      <c r="F63" s="7"/>
      <c r="H63" s="2">
        <f>SUM(H56:H62)</f>
        <v>189</v>
      </c>
      <c r="I63" s="2">
        <f>SUM(I56:I62)</f>
        <v>189</v>
      </c>
    </row>
    <row r="64" spans="1:9" x14ac:dyDescent="0.3">
      <c r="A64" s="41"/>
      <c r="B64" s="41" t="s">
        <v>38</v>
      </c>
      <c r="C64" s="4">
        <v>500</v>
      </c>
      <c r="D64" s="4"/>
      <c r="E64" s="6" t="s">
        <v>511</v>
      </c>
      <c r="F64" s="7" t="s">
        <v>512</v>
      </c>
      <c r="H64" s="4">
        <v>520</v>
      </c>
      <c r="I64" s="1">
        <f>H64-C64</f>
        <v>20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511</v>
      </c>
      <c r="F65" s="7"/>
      <c r="H65" s="4">
        <v>2</v>
      </c>
      <c r="I65" s="1">
        <f t="shared" ref="I65:I70" si="13">H65-C65</f>
        <v>2</v>
      </c>
    </row>
    <row r="66" spans="1:9" x14ac:dyDescent="0.3">
      <c r="A66" s="41"/>
      <c r="B66" s="41" t="s">
        <v>40</v>
      </c>
      <c r="C66" s="4">
        <v>500</v>
      </c>
      <c r="D66" s="4">
        <v>0</v>
      </c>
      <c r="E66" s="6" t="s">
        <v>511</v>
      </c>
      <c r="F66" s="7" t="s">
        <v>516</v>
      </c>
      <c r="H66" s="4">
        <v>108</v>
      </c>
      <c r="I66" s="1">
        <f t="shared" si="13"/>
        <v>-392</v>
      </c>
    </row>
    <row r="67" spans="1:9" x14ac:dyDescent="0.3">
      <c r="A67" s="41"/>
      <c r="B67" s="41" t="s">
        <v>41</v>
      </c>
      <c r="C67" s="4">
        <v>0</v>
      </c>
      <c r="D67" s="4">
        <v>0</v>
      </c>
      <c r="E67" s="6" t="s">
        <v>227</v>
      </c>
      <c r="F67" s="7"/>
      <c r="H67" s="4">
        <v>259</v>
      </c>
      <c r="I67" s="1">
        <f t="shared" si="13"/>
        <v>259</v>
      </c>
    </row>
    <row r="68" spans="1:9" x14ac:dyDescent="0.3">
      <c r="A68" s="41"/>
      <c r="B68" s="41" t="s">
        <v>42</v>
      </c>
      <c r="C68" s="4">
        <v>500</v>
      </c>
      <c r="D68" s="4">
        <v>0</v>
      </c>
      <c r="E68" s="6" t="s">
        <v>227</v>
      </c>
      <c r="F68" s="7" t="s">
        <v>512</v>
      </c>
      <c r="H68" s="4">
        <v>503</v>
      </c>
      <c r="I68" s="1">
        <f t="shared" si="13"/>
        <v>3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/>
      <c r="F69" s="7"/>
      <c r="H69" s="4">
        <v>23</v>
      </c>
      <c r="I69" s="1">
        <f t="shared" si="13"/>
        <v>23</v>
      </c>
    </row>
    <row r="70" spans="1:9" x14ac:dyDescent="0.3">
      <c r="A70" s="41"/>
      <c r="B70" s="41" t="s">
        <v>45</v>
      </c>
      <c r="C70" s="4">
        <v>500</v>
      </c>
      <c r="D70" s="4">
        <v>0</v>
      </c>
      <c r="E70" s="6" t="s">
        <v>227</v>
      </c>
      <c r="F70" s="7" t="s">
        <v>512</v>
      </c>
      <c r="H70" s="4">
        <v>478</v>
      </c>
      <c r="I70" s="1">
        <f t="shared" si="13"/>
        <v>-22</v>
      </c>
    </row>
    <row r="71" spans="1:9" x14ac:dyDescent="0.3">
      <c r="A71" s="41"/>
      <c r="B71" s="41" t="s">
        <v>29</v>
      </c>
      <c r="C71" s="2">
        <f>SUM(C64:C70)</f>
        <v>2000</v>
      </c>
      <c r="D71" s="2">
        <f>SUM(D64:D70)</f>
        <v>0</v>
      </c>
      <c r="E71" s="6"/>
      <c r="F71" s="7"/>
      <c r="H71" s="2">
        <f>SUM(H64:H70)</f>
        <v>1893</v>
      </c>
      <c r="I71" s="2">
        <f>SUM(I64:I70)</f>
        <v>-107</v>
      </c>
    </row>
    <row r="72" spans="1:9" x14ac:dyDescent="0.3">
      <c r="A72" s="41"/>
      <c r="B72" s="41" t="s">
        <v>46</v>
      </c>
      <c r="C72" s="4">
        <v>500</v>
      </c>
      <c r="D72" s="4">
        <v>0</v>
      </c>
      <c r="E72" s="6" t="s">
        <v>511</v>
      </c>
      <c r="F72" s="7" t="s">
        <v>517</v>
      </c>
      <c r="H72" s="4">
        <v>452</v>
      </c>
      <c r="I72" s="1">
        <f>H72-C72</f>
        <v>-48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518</v>
      </c>
      <c r="F73" s="7"/>
      <c r="H73" s="4">
        <v>-9</v>
      </c>
      <c r="I73" s="1">
        <f t="shared" ref="I73:I78" si="14">H73-C73</f>
        <v>-9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518</v>
      </c>
      <c r="F74" s="7"/>
      <c r="H74" s="4">
        <v>3</v>
      </c>
      <c r="I74" s="1">
        <f t="shared" si="14"/>
        <v>3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518</v>
      </c>
      <c r="F75" s="7"/>
      <c r="H75" s="4">
        <v>15</v>
      </c>
      <c r="I75" s="1">
        <f t="shared" si="14"/>
        <v>15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518</v>
      </c>
      <c r="F76" s="7"/>
      <c r="H76" s="4">
        <v>-397</v>
      </c>
      <c r="I76" s="1">
        <f t="shared" si="14"/>
        <v>-397</v>
      </c>
    </row>
    <row r="77" spans="1:9" x14ac:dyDescent="0.3">
      <c r="A77" s="41"/>
      <c r="B77" s="41" t="s">
        <v>52</v>
      </c>
      <c r="C77" s="4">
        <v>1000</v>
      </c>
      <c r="D77" s="4">
        <v>2500</v>
      </c>
      <c r="E77" s="6" t="s">
        <v>511</v>
      </c>
      <c r="F77" s="7" t="s">
        <v>519</v>
      </c>
      <c r="H77" s="4">
        <v>1015</v>
      </c>
      <c r="I77" s="1">
        <f t="shared" si="14"/>
        <v>15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511</v>
      </c>
      <c r="F78" s="7"/>
      <c r="H78" s="4">
        <v>28</v>
      </c>
      <c r="I78" s="1">
        <f t="shared" si="14"/>
        <v>28</v>
      </c>
    </row>
    <row r="79" spans="1:9" x14ac:dyDescent="0.3">
      <c r="A79" s="41"/>
      <c r="B79" s="41" t="s">
        <v>11</v>
      </c>
      <c r="C79" s="2">
        <f>SUM(C72:C78)</f>
        <v>1500</v>
      </c>
      <c r="D79" s="2">
        <f>SUM(D72:D78)</f>
        <v>2500</v>
      </c>
      <c r="E79" s="6"/>
      <c r="F79" s="7"/>
      <c r="H79" s="2">
        <f t="shared" ref="H79:I79" si="15">SUM(H72:H78)</f>
        <v>1107</v>
      </c>
      <c r="I79" s="2">
        <f t="shared" si="15"/>
        <v>-393</v>
      </c>
    </row>
    <row r="80" spans="1:9" x14ac:dyDescent="0.3">
      <c r="A80" s="41"/>
      <c r="B80" s="41" t="s">
        <v>12</v>
      </c>
      <c r="C80" s="3">
        <f>SUM(C79+C71+C63+C55)</f>
        <v>5000</v>
      </c>
      <c r="D80" s="3">
        <f>SUM(D79+D71+D63+D55)</f>
        <v>5445</v>
      </c>
      <c r="E80" s="6"/>
      <c r="F80" s="7"/>
      <c r="H80" s="3">
        <f t="shared" ref="H80:I80" si="16">SUM(H79+H71+H63+H55)</f>
        <v>4809</v>
      </c>
      <c r="I80" s="3">
        <f t="shared" si="16"/>
        <v>-191</v>
      </c>
    </row>
    <row r="81" spans="1:9" x14ac:dyDescent="0.3">
      <c r="A81" s="41"/>
      <c r="B81" s="41" t="s">
        <v>13</v>
      </c>
      <c r="C81" s="1">
        <f>D80+C80</f>
        <v>10445</v>
      </c>
      <c r="E81" s="24"/>
      <c r="F81" s="25"/>
      <c r="H81" s="1">
        <f t="shared" ref="H81:I81" si="17">I80+H80</f>
        <v>4618</v>
      </c>
      <c r="I81" s="1">
        <f t="shared" si="17"/>
        <v>-191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 t="s">
        <v>55</v>
      </c>
      <c r="D83" s="41"/>
      <c r="E83" s="43" t="s">
        <v>55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 t="s">
        <v>55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 t="s">
        <v>55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 t="s">
        <v>55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/>
      <c r="F92" s="7"/>
      <c r="H92" s="4">
        <v>0</v>
      </c>
      <c r="I92" s="1">
        <f>H92-C92</f>
        <v>0</v>
      </c>
    </row>
    <row r="93" spans="1:9" x14ac:dyDescent="0.3">
      <c r="A93" s="41"/>
      <c r="B93" s="41" t="s">
        <v>60</v>
      </c>
      <c r="C93" s="4">
        <v>500</v>
      </c>
      <c r="D93" s="4">
        <v>0</v>
      </c>
      <c r="E93" s="6" t="s">
        <v>518</v>
      </c>
      <c r="F93" s="7" t="s">
        <v>512</v>
      </c>
      <c r="H93" s="4">
        <v>0</v>
      </c>
      <c r="I93" s="1">
        <f t="shared" ref="I93:I98" si="18">H93-C93</f>
        <v>-500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/>
      <c r="F94" s="7"/>
      <c r="H94" s="4">
        <v>0</v>
      </c>
      <c r="I94" s="1">
        <f t="shared" si="18"/>
        <v>0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/>
      <c r="F95" s="7"/>
      <c r="H95" s="4">
        <v>0</v>
      </c>
      <c r="I95" s="1">
        <f t="shared" si="18"/>
        <v>0</v>
      </c>
    </row>
    <row r="96" spans="1:9" x14ac:dyDescent="0.3">
      <c r="A96" s="41"/>
      <c r="B96" s="41" t="s">
        <v>64</v>
      </c>
      <c r="C96" s="4">
        <v>500</v>
      </c>
      <c r="D96" s="4">
        <v>0</v>
      </c>
      <c r="E96" s="6" t="s">
        <v>227</v>
      </c>
      <c r="F96" s="7" t="s">
        <v>512</v>
      </c>
      <c r="H96" s="4">
        <v>0</v>
      </c>
      <c r="I96" s="1">
        <f t="shared" si="18"/>
        <v>-500</v>
      </c>
    </row>
    <row r="97" spans="1:9" x14ac:dyDescent="0.3">
      <c r="A97" s="41"/>
      <c r="B97" s="41" t="s">
        <v>65</v>
      </c>
      <c r="C97" s="4">
        <v>0</v>
      </c>
      <c r="D97" s="4">
        <v>0</v>
      </c>
      <c r="E97" s="6"/>
      <c r="F97" s="7"/>
      <c r="H97" s="4">
        <v>0</v>
      </c>
      <c r="I97" s="1">
        <f t="shared" si="18"/>
        <v>0</v>
      </c>
    </row>
    <row r="98" spans="1:9" x14ac:dyDescent="0.3">
      <c r="A98" s="41"/>
      <c r="B98" s="41" t="s">
        <v>66</v>
      </c>
      <c r="C98" s="4">
        <v>0</v>
      </c>
      <c r="D98" s="4">
        <v>0</v>
      </c>
      <c r="E98" s="6"/>
      <c r="F98" s="7"/>
      <c r="H98" s="4">
        <v>0</v>
      </c>
      <c r="I98" s="1">
        <f t="shared" si="18"/>
        <v>0</v>
      </c>
    </row>
    <row r="99" spans="1:9" x14ac:dyDescent="0.3">
      <c r="A99" s="41"/>
      <c r="B99" s="41" t="s">
        <v>29</v>
      </c>
      <c r="C99" s="2">
        <f>SUM(C92:C98)</f>
        <v>1000</v>
      </c>
      <c r="D99" s="2">
        <f>SUM(D92:D98)</f>
        <v>0</v>
      </c>
      <c r="E99" s="6"/>
      <c r="F99" s="7"/>
      <c r="H99" s="2">
        <f>SUM(H92:H98)</f>
        <v>0</v>
      </c>
      <c r="I99" s="2">
        <f>SUM(I92:I98)</f>
        <v>-1000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"/>
      <c r="F100" s="7"/>
      <c r="H100" s="4">
        <v>0</v>
      </c>
      <c r="I100" s="1">
        <f>H100-C100</f>
        <v>0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19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19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19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9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9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9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0</v>
      </c>
      <c r="I107" s="2">
        <f>SUM(I100:I106)</f>
        <v>0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0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0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0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0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0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0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1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1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1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1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1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21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2">SUM(H116:H122)</f>
        <v>0</v>
      </c>
      <c r="I123" s="2">
        <f t="shared" si="22"/>
        <v>0</v>
      </c>
    </row>
    <row r="124" spans="1:9" x14ac:dyDescent="0.3">
      <c r="A124" s="41"/>
      <c r="B124" s="41" t="s">
        <v>12</v>
      </c>
      <c r="C124" s="3">
        <f>SUM(C123+C115+C107+C99)</f>
        <v>1000</v>
      </c>
      <c r="D124" s="3">
        <f>SUM(D123+D115+D107+D99)</f>
        <v>0</v>
      </c>
      <c r="E124" s="6"/>
      <c r="F124" s="7"/>
      <c r="H124" s="3">
        <f t="shared" ref="H124:I124" si="23">SUM(H123+H115+H107+H99)</f>
        <v>0</v>
      </c>
      <c r="I124" s="3">
        <f t="shared" si="23"/>
        <v>-1000</v>
      </c>
    </row>
    <row r="125" spans="1:9" x14ac:dyDescent="0.3">
      <c r="A125" s="41"/>
      <c r="B125" s="41" t="s">
        <v>13</v>
      </c>
      <c r="C125" s="1">
        <f>D124+C124</f>
        <v>1000</v>
      </c>
      <c r="E125" s="24"/>
      <c r="F125" s="25"/>
      <c r="H125" s="1">
        <f t="shared" ref="H125:I125" si="24">I124+H124</f>
        <v>-1000</v>
      </c>
      <c r="I125" s="1">
        <f t="shared" si="24"/>
        <v>-1000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5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5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5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5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5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5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6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6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6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6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6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6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7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7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7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7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7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7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8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8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8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8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8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8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9">SUM(H160:H166)</f>
        <v>0</v>
      </c>
      <c r="I167" s="2">
        <f t="shared" si="29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0">SUM(H167+H159+H151+H143)</f>
        <v>0</v>
      </c>
      <c r="I168" s="3">
        <f t="shared" si="30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1">I168+H168</f>
        <v>0</v>
      </c>
      <c r="I169" s="1">
        <f t="shared" si="31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2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2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2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2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2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2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3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3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3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3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3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3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4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4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4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4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4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4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5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5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5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5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5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5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6">SUM(H204:H210)</f>
        <v>0</v>
      </c>
      <c r="I211" s="2">
        <f t="shared" si="36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7">SUM(H211+H203+H195+H187)</f>
        <v>0</v>
      </c>
      <c r="I212" s="3">
        <f t="shared" si="37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8">I212+H212</f>
        <v>0</v>
      </c>
      <c r="I213" s="1">
        <f t="shared" si="38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02A0A-FF2F-41DA-8D25-05ACA0DC2330}">
  <sheetPr codeName="Sheet22"/>
  <dimension ref="A1:I222"/>
  <sheetViews>
    <sheetView showGridLines="0" workbookViewId="0">
      <pane xSplit="2" ySplit="3" topLeftCell="C86" activePane="bottomRight" state="frozen"/>
      <selection pane="topRight" activeCell="C23" sqref="C23"/>
      <selection pane="bottomLeft" activeCell="C23" sqref="C23"/>
      <selection pane="bottomRight" activeCell="M70" sqref="M70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520</v>
      </c>
      <c r="D1" s="14"/>
    </row>
    <row r="2" spans="2:9" x14ac:dyDescent="0.3">
      <c r="C2" s="5" t="s">
        <v>1</v>
      </c>
      <c r="D2" s="5"/>
    </row>
    <row r="3" spans="2:9" ht="123" customHeight="1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1970</v>
      </c>
      <c r="E4" s="6" t="s">
        <v>521</v>
      </c>
      <c r="F4" s="7"/>
      <c r="H4" s="4">
        <v>-156</v>
      </c>
      <c r="I4" s="1">
        <f>H4-C4</f>
        <v>-156</v>
      </c>
    </row>
    <row r="5" spans="2:9" x14ac:dyDescent="0.3">
      <c r="B5" s="20">
        <f>B4+1</f>
        <v>46244</v>
      </c>
      <c r="C5" s="4">
        <v>0</v>
      </c>
      <c r="D5" s="4">
        <v>0</v>
      </c>
      <c r="E5" s="6"/>
      <c r="F5" s="7"/>
      <c r="H5" s="4">
        <v>-2</v>
      </c>
      <c r="I5" s="1">
        <f t="shared" ref="I5:I10" si="0">H5-C5</f>
        <v>-2</v>
      </c>
    </row>
    <row r="6" spans="2:9" x14ac:dyDescent="0.3">
      <c r="B6" s="20">
        <f t="shared" ref="B6:B10" si="1">B5+1</f>
        <v>46245</v>
      </c>
      <c r="C6" s="4">
        <v>0</v>
      </c>
      <c r="D6" s="4">
        <v>0</v>
      </c>
      <c r="E6" s="6"/>
      <c r="F6" s="7"/>
      <c r="H6" s="4">
        <v>17</v>
      </c>
      <c r="I6" s="1">
        <f t="shared" si="0"/>
        <v>17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/>
      <c r="F7" s="7"/>
      <c r="H7" s="4">
        <v>25</v>
      </c>
      <c r="I7" s="1">
        <f t="shared" si="0"/>
        <v>25</v>
      </c>
    </row>
    <row r="8" spans="2:9" x14ac:dyDescent="0.3">
      <c r="B8" s="20">
        <f t="shared" si="1"/>
        <v>46247</v>
      </c>
      <c r="C8" s="4">
        <v>0</v>
      </c>
      <c r="D8" s="4">
        <v>0</v>
      </c>
      <c r="E8" s="6"/>
      <c r="F8" s="7"/>
      <c r="H8" s="4">
        <v>39</v>
      </c>
      <c r="I8" s="1">
        <f t="shared" si="0"/>
        <v>39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>
        <v>-1</v>
      </c>
      <c r="I9" s="1">
        <f t="shared" si="0"/>
        <v>-1</v>
      </c>
    </row>
    <row r="10" spans="2:9" ht="15" thickBot="1" x14ac:dyDescent="0.35">
      <c r="B10" s="20">
        <f t="shared" si="1"/>
        <v>46249</v>
      </c>
      <c r="C10" s="4">
        <v>0</v>
      </c>
      <c r="D10" s="4">
        <v>2325</v>
      </c>
      <c r="E10" s="6" t="s">
        <v>521</v>
      </c>
      <c r="F10" s="7"/>
      <c r="H10" s="4">
        <v>-5</v>
      </c>
      <c r="I10" s="1">
        <f t="shared" si="0"/>
        <v>-5</v>
      </c>
    </row>
    <row r="11" spans="2:9" x14ac:dyDescent="0.3">
      <c r="B11" s="21" t="s">
        <v>11</v>
      </c>
      <c r="C11" s="2">
        <f>SUM(C4:C10)</f>
        <v>0</v>
      </c>
      <c r="D11" s="2">
        <f>SUM(D4:D10)</f>
        <v>4295</v>
      </c>
      <c r="E11" s="6"/>
      <c r="F11" s="7"/>
      <c r="H11" s="2">
        <f>SUM(H4:H10)</f>
        <v>-83</v>
      </c>
      <c r="I11" s="2">
        <f>SUM(I4:I10)</f>
        <v>-83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>
        <v>-7</v>
      </c>
      <c r="I12" s="1">
        <f>H12-C12</f>
        <v>-7</v>
      </c>
    </row>
    <row r="13" spans="2:9" x14ac:dyDescent="0.3">
      <c r="B13" s="20">
        <f>B12+1</f>
        <v>46251</v>
      </c>
      <c r="C13" s="4">
        <v>1970</v>
      </c>
      <c r="D13" s="4">
        <v>0</v>
      </c>
      <c r="E13" s="6" t="s">
        <v>522</v>
      </c>
      <c r="F13" s="7"/>
      <c r="H13" s="4">
        <v>1969</v>
      </c>
      <c r="I13" s="1">
        <f t="shared" ref="I13:I18" si="2">H13-C13</f>
        <v>-1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>
        <v>-11</v>
      </c>
      <c r="I14" s="1">
        <f t="shared" si="2"/>
        <v>-11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>
        <v>-24</v>
      </c>
      <c r="I15" s="1">
        <f t="shared" si="2"/>
        <v>-24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>
        <v>-9</v>
      </c>
      <c r="I16" s="1">
        <f t="shared" si="2"/>
        <v>-9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>
        <v>-22</v>
      </c>
      <c r="I17" s="1">
        <f t="shared" si="2"/>
        <v>-22</v>
      </c>
    </row>
    <row r="18" spans="2:9" x14ac:dyDescent="0.3">
      <c r="B18" s="20">
        <f t="shared" si="3"/>
        <v>46256</v>
      </c>
      <c r="C18" s="4">
        <v>0</v>
      </c>
      <c r="D18" s="4">
        <v>0</v>
      </c>
      <c r="E18" s="6"/>
      <c r="F18" s="7"/>
      <c r="H18" s="4">
        <v>15</v>
      </c>
      <c r="I18" s="1">
        <f t="shared" si="2"/>
        <v>15</v>
      </c>
    </row>
    <row r="19" spans="2:9" x14ac:dyDescent="0.3">
      <c r="B19" s="21" t="s">
        <v>11</v>
      </c>
      <c r="C19" s="2">
        <f>SUM(C12:C18)</f>
        <v>1970</v>
      </c>
      <c r="D19" s="2">
        <f>SUM(D12:D18)</f>
        <v>0</v>
      </c>
      <c r="E19" s="6"/>
      <c r="F19" s="7"/>
      <c r="H19" s="2">
        <f>SUM(H12:H18)</f>
        <v>1911</v>
      </c>
      <c r="I19" s="2">
        <f>SUM(I12:I18)</f>
        <v>-59</v>
      </c>
    </row>
    <row r="20" spans="2:9" x14ac:dyDescent="0.3">
      <c r="B20" s="20">
        <f>B18+1</f>
        <v>46257</v>
      </c>
      <c r="C20" s="4">
        <v>0</v>
      </c>
      <c r="D20" s="4">
        <v>0</v>
      </c>
      <c r="E20" s="6"/>
      <c r="F20" s="7"/>
      <c r="H20" s="4">
        <v>0</v>
      </c>
      <c r="I20" s="1">
        <f>H20-C20</f>
        <v>0</v>
      </c>
    </row>
    <row r="21" spans="2:9" x14ac:dyDescent="0.3">
      <c r="B21" s="20">
        <f>B20+1</f>
        <v>46258</v>
      </c>
      <c r="C21" s="4">
        <v>-2325</v>
      </c>
      <c r="D21" s="4">
        <v>2840</v>
      </c>
      <c r="E21" s="6" t="s">
        <v>522</v>
      </c>
      <c r="F21" s="7"/>
      <c r="H21" s="4">
        <v>-9</v>
      </c>
      <c r="I21" s="1">
        <f t="shared" ref="I21:I26" si="4">H21-C21</f>
        <v>2316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/>
      <c r="F22" s="7"/>
      <c r="H22" s="4">
        <v>0</v>
      </c>
      <c r="I22" s="1">
        <f t="shared" si="4"/>
        <v>0</v>
      </c>
    </row>
    <row r="23" spans="2:9" x14ac:dyDescent="0.3">
      <c r="B23" s="20">
        <f t="shared" si="5"/>
        <v>46260</v>
      </c>
      <c r="C23" s="4">
        <v>0</v>
      </c>
      <c r="D23" s="4">
        <v>0</v>
      </c>
      <c r="E23" s="6"/>
      <c r="F23" s="7"/>
      <c r="H23" s="4">
        <v>-23</v>
      </c>
      <c r="I23" s="1">
        <f t="shared" si="4"/>
        <v>-23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>
        <v>-17</v>
      </c>
      <c r="I24" s="1">
        <f t="shared" si="4"/>
        <v>-17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/>
      <c r="F25" s="7"/>
      <c r="H25" s="4">
        <v>-21</v>
      </c>
      <c r="I25" s="1">
        <f t="shared" si="4"/>
        <v>-21</v>
      </c>
    </row>
    <row r="26" spans="2:9" x14ac:dyDescent="0.3">
      <c r="B26" s="20">
        <f t="shared" si="5"/>
        <v>46263</v>
      </c>
      <c r="C26" s="4">
        <v>0</v>
      </c>
      <c r="D26" s="4">
        <v>0</v>
      </c>
      <c r="E26" s="6"/>
      <c r="F26" s="7"/>
      <c r="H26" s="4">
        <v>-24</v>
      </c>
      <c r="I26" s="1">
        <f t="shared" si="4"/>
        <v>-24</v>
      </c>
    </row>
    <row r="27" spans="2:9" x14ac:dyDescent="0.3">
      <c r="B27" s="21" t="s">
        <v>11</v>
      </c>
      <c r="C27" s="2">
        <f>SUM(C20:C26)</f>
        <v>-2325</v>
      </c>
      <c r="D27" s="2">
        <f>SUM(D20:D26)</f>
        <v>2840</v>
      </c>
      <c r="E27" s="6"/>
      <c r="F27" s="7"/>
      <c r="H27" s="2">
        <f>SUM(H20:H26)</f>
        <v>-94</v>
      </c>
      <c r="I27" s="2">
        <f>SUM(I20:I26)</f>
        <v>2231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>
        <v>-6</v>
      </c>
      <c r="I28" s="1">
        <f>H28-C28</f>
        <v>-6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>
        <v>-24</v>
      </c>
      <c r="I29" s="1">
        <f t="shared" ref="I29:I34" si="6">H29-C29</f>
        <v>-24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>
        <v>5</v>
      </c>
      <c r="I30" s="1">
        <f t="shared" si="6"/>
        <v>5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>
        <v>-22</v>
      </c>
      <c r="I31" s="1">
        <f t="shared" si="6"/>
        <v>-22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/>
      <c r="F32" s="7"/>
      <c r="H32" s="4">
        <v>-21</v>
      </c>
      <c r="I32" s="1">
        <f t="shared" si="6"/>
        <v>-21</v>
      </c>
    </row>
    <row r="33" spans="1:9" x14ac:dyDescent="0.3">
      <c r="B33" s="20">
        <f t="shared" si="7"/>
        <v>46269</v>
      </c>
      <c r="C33" s="4">
        <v>-2840</v>
      </c>
      <c r="D33" s="4">
        <v>2445</v>
      </c>
      <c r="E33" s="6" t="s">
        <v>521</v>
      </c>
      <c r="F33" s="7"/>
      <c r="H33" s="4">
        <v>2792</v>
      </c>
      <c r="I33" s="1">
        <f t="shared" si="6"/>
        <v>5632</v>
      </c>
    </row>
    <row r="34" spans="1:9" x14ac:dyDescent="0.3">
      <c r="B34" s="20">
        <f t="shared" si="7"/>
        <v>46270</v>
      </c>
      <c r="C34" s="4">
        <v>0</v>
      </c>
      <c r="D34" s="4">
        <v>0</v>
      </c>
      <c r="E34" s="6"/>
      <c r="F34" s="7"/>
      <c r="H34" s="4">
        <v>-23</v>
      </c>
      <c r="I34" s="1">
        <f t="shared" si="6"/>
        <v>-23</v>
      </c>
    </row>
    <row r="35" spans="1:9" x14ac:dyDescent="0.3">
      <c r="B35" s="19" t="s">
        <v>11</v>
      </c>
      <c r="C35" s="2">
        <f>SUM(C28:C34)</f>
        <v>-2840</v>
      </c>
      <c r="D35" s="2">
        <f>SUM(D28:D34)</f>
        <v>2445</v>
      </c>
      <c r="E35" s="6"/>
      <c r="F35" s="7"/>
      <c r="H35" s="2">
        <f>SUM(H28:H34)</f>
        <v>2701</v>
      </c>
      <c r="I35" s="2">
        <f t="shared" ref="I35" si="8">SUM(I28:I34)</f>
        <v>5541</v>
      </c>
    </row>
    <row r="36" spans="1:9" x14ac:dyDescent="0.3">
      <c r="B36" s="19" t="s">
        <v>12</v>
      </c>
      <c r="C36" s="3">
        <f>SUM(C35+C27+C19+C11)</f>
        <v>-3195</v>
      </c>
      <c r="D36" s="3">
        <f>SUM(D35+D27+D19+D11)</f>
        <v>9580</v>
      </c>
      <c r="E36" s="6"/>
      <c r="F36" s="7"/>
      <c r="H36" s="3">
        <f>SUM(H35+H27+H19+H11)</f>
        <v>4435</v>
      </c>
      <c r="I36" s="3">
        <f t="shared" ref="I36" si="9">SUM(I35+I27+I19+I11)</f>
        <v>7630</v>
      </c>
    </row>
    <row r="37" spans="1:9" x14ac:dyDescent="0.3">
      <c r="B37" s="19" t="s">
        <v>13</v>
      </c>
      <c r="C37" s="1">
        <f>D36+C36</f>
        <v>6385</v>
      </c>
      <c r="E37" s="24"/>
      <c r="F37" s="25"/>
      <c r="H37" s="1">
        <f>I36+H36</f>
        <v>12065</v>
      </c>
      <c r="I37" s="1">
        <f t="shared" ref="I37" si="10">J36+I36</f>
        <v>7630</v>
      </c>
    </row>
    <row r="38" spans="1:9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2445</v>
      </c>
      <c r="E39" s="6"/>
      <c r="F39" s="30" t="s">
        <v>523</v>
      </c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0</v>
      </c>
      <c r="D48" s="4">
        <v>0</v>
      </c>
      <c r="E48" s="6"/>
      <c r="F48" s="7"/>
      <c r="H48" s="4">
        <v>-13</v>
      </c>
      <c r="I48" s="1">
        <f>H48-C48</f>
        <v>-13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/>
      <c r="F49" s="7"/>
      <c r="H49" s="4">
        <v>-29</v>
      </c>
      <c r="I49" s="1">
        <f t="shared" ref="I49:I54" si="11">H49-C49</f>
        <v>-29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/>
      <c r="F50" s="7"/>
      <c r="H50" s="4">
        <f>5</f>
        <v>5</v>
      </c>
      <c r="I50" s="1">
        <f t="shared" si="11"/>
        <v>5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/>
      <c r="F51" s="7"/>
      <c r="H51" s="4">
        <v>-23</v>
      </c>
      <c r="I51" s="1">
        <f t="shared" si="11"/>
        <v>-23</v>
      </c>
    </row>
    <row r="52" spans="1:9" x14ac:dyDescent="0.3">
      <c r="A52" s="41"/>
      <c r="B52" s="41" t="s">
        <v>25</v>
      </c>
      <c r="C52" s="4">
        <v>0</v>
      </c>
      <c r="D52" s="4">
        <v>0</v>
      </c>
      <c r="E52" s="6"/>
      <c r="F52" s="7"/>
      <c r="H52" s="4">
        <v>-22</v>
      </c>
      <c r="I52" s="1">
        <f t="shared" si="11"/>
        <v>-22</v>
      </c>
    </row>
    <row r="53" spans="1:9" x14ac:dyDescent="0.3">
      <c r="A53" s="41"/>
      <c r="B53" s="41" t="s">
        <v>26</v>
      </c>
      <c r="C53" s="4">
        <v>2445</v>
      </c>
      <c r="D53" s="4">
        <v>1825</v>
      </c>
      <c r="E53" s="6"/>
      <c r="F53" s="7" t="s">
        <v>524</v>
      </c>
      <c r="H53" s="4">
        <v>2510</v>
      </c>
      <c r="I53" s="1">
        <f t="shared" si="11"/>
        <v>65</v>
      </c>
    </row>
    <row r="54" spans="1:9" x14ac:dyDescent="0.3">
      <c r="A54" s="41"/>
      <c r="B54" s="41" t="s">
        <v>27</v>
      </c>
      <c r="C54" s="4">
        <v>0</v>
      </c>
      <c r="D54" s="4">
        <v>0</v>
      </c>
      <c r="E54" s="6"/>
      <c r="F54" s="7"/>
      <c r="H54" s="4">
        <v>-81</v>
      </c>
      <c r="I54" s="1">
        <f t="shared" si="11"/>
        <v>-81</v>
      </c>
    </row>
    <row r="55" spans="1:9" x14ac:dyDescent="0.3">
      <c r="A55" s="41"/>
      <c r="B55" s="41" t="s">
        <v>29</v>
      </c>
      <c r="C55" s="2">
        <f>SUM(C48:C54)</f>
        <v>2445</v>
      </c>
      <c r="D55" s="2">
        <f>SUM(D48:D54)</f>
        <v>1825</v>
      </c>
      <c r="E55" s="6"/>
      <c r="F55" s="7"/>
      <c r="H55" s="2">
        <f>SUM(H48:H54)</f>
        <v>2347</v>
      </c>
      <c r="I55" s="2">
        <f>SUM(I48:I54)</f>
        <v>-98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525</v>
      </c>
      <c r="F56" s="7"/>
      <c r="H56" s="4">
        <v>2</v>
      </c>
      <c r="I56" s="1">
        <f>H56-C56</f>
        <v>2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522</v>
      </c>
      <c r="F57" s="7"/>
      <c r="H57" s="4">
        <v>1</v>
      </c>
      <c r="I57" s="1">
        <f t="shared" ref="I57:I62" si="12">H57-C57</f>
        <v>1</v>
      </c>
    </row>
    <row r="58" spans="1:9" x14ac:dyDescent="0.3">
      <c r="A58" s="41"/>
      <c r="B58" s="41" t="s">
        <v>32</v>
      </c>
      <c r="C58" s="4">
        <v>0</v>
      </c>
      <c r="D58" s="4">
        <v>0</v>
      </c>
      <c r="E58" s="6" t="s">
        <v>522</v>
      </c>
      <c r="F58" s="7"/>
      <c r="H58" s="4">
        <v>-6</v>
      </c>
      <c r="I58" s="1">
        <f t="shared" si="12"/>
        <v>-6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521</v>
      </c>
      <c r="F59" s="7" t="s">
        <v>526</v>
      </c>
      <c r="H59" s="4">
        <v>-275</v>
      </c>
      <c r="I59" s="1">
        <f t="shared" si="12"/>
        <v>-275</v>
      </c>
    </row>
    <row r="60" spans="1:9" x14ac:dyDescent="0.3">
      <c r="A60" s="41"/>
      <c r="B60" s="41" t="s">
        <v>35</v>
      </c>
      <c r="C60" s="4">
        <v>0</v>
      </c>
      <c r="D60" s="4">
        <v>0</v>
      </c>
      <c r="E60" s="6" t="s">
        <v>521</v>
      </c>
      <c r="F60" s="7"/>
      <c r="H60" s="4">
        <v>212</v>
      </c>
      <c r="I60" s="1">
        <f t="shared" si="12"/>
        <v>212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521</v>
      </c>
      <c r="F61" s="7"/>
      <c r="H61" s="4">
        <v>-6</v>
      </c>
      <c r="I61" s="1">
        <f t="shared" si="12"/>
        <v>-6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521</v>
      </c>
      <c r="F62" s="7" t="s">
        <v>527</v>
      </c>
      <c r="H62" s="4">
        <v>165</v>
      </c>
      <c r="I62" s="1">
        <f t="shared" si="12"/>
        <v>165</v>
      </c>
    </row>
    <row r="63" spans="1:9" x14ac:dyDescent="0.3">
      <c r="A63" s="41"/>
      <c r="B63" s="41" t="s">
        <v>29</v>
      </c>
      <c r="C63" s="2">
        <f>SUM(C56:C62)</f>
        <v>0</v>
      </c>
      <c r="D63" s="2">
        <f>SUM(D56:D62)</f>
        <v>0</v>
      </c>
      <c r="E63" s="6"/>
      <c r="F63" s="7"/>
      <c r="H63" s="2">
        <f>SUM(H56:H62)</f>
        <v>93</v>
      </c>
      <c r="I63" s="2">
        <f>SUM(I56:I62)</f>
        <v>93</v>
      </c>
    </row>
    <row r="64" spans="1:9" x14ac:dyDescent="0.3">
      <c r="A64" s="41"/>
      <c r="B64" s="41" t="s">
        <v>38</v>
      </c>
      <c r="C64" s="4">
        <v>0</v>
      </c>
      <c r="D64" s="4"/>
      <c r="E64" s="6" t="s">
        <v>525</v>
      </c>
      <c r="F64" s="7" t="s">
        <v>528</v>
      </c>
      <c r="H64" s="4">
        <v>-231</v>
      </c>
      <c r="I64" s="1">
        <f>H64-C64</f>
        <v>-231</v>
      </c>
    </row>
    <row r="65" spans="1:9" x14ac:dyDescent="0.3">
      <c r="A65" s="41"/>
      <c r="B65" s="41" t="s">
        <v>39</v>
      </c>
      <c r="C65" s="4">
        <v>0</v>
      </c>
      <c r="D65" s="4">
        <v>1970</v>
      </c>
      <c r="E65" s="6" t="s">
        <v>525</v>
      </c>
      <c r="F65" s="7" t="s">
        <v>529</v>
      </c>
      <c r="H65" s="4">
        <v>19</v>
      </c>
      <c r="I65" s="1">
        <f t="shared" ref="I65:I70" si="13">H65-C65</f>
        <v>19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525</v>
      </c>
      <c r="F66" s="7"/>
      <c r="H66" s="4">
        <v>16</v>
      </c>
      <c r="I66" s="1">
        <f t="shared" si="13"/>
        <v>16</v>
      </c>
    </row>
    <row r="67" spans="1:9" x14ac:dyDescent="0.3">
      <c r="A67" s="41"/>
      <c r="B67" s="41" t="s">
        <v>41</v>
      </c>
      <c r="C67" s="4">
        <v>1825</v>
      </c>
      <c r="D67" s="4">
        <v>0</v>
      </c>
      <c r="E67" s="6" t="s">
        <v>530</v>
      </c>
      <c r="F67" s="7"/>
      <c r="H67" s="4">
        <v>1811</v>
      </c>
      <c r="I67" s="1">
        <f t="shared" si="13"/>
        <v>-14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530</v>
      </c>
      <c r="F68" s="7" t="s">
        <v>531</v>
      </c>
      <c r="H68" s="4">
        <v>-26</v>
      </c>
      <c r="I68" s="1">
        <f t="shared" si="13"/>
        <v>-26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530</v>
      </c>
      <c r="F69" s="7"/>
      <c r="H69" s="4">
        <v>-90</v>
      </c>
      <c r="I69" s="1">
        <f t="shared" si="13"/>
        <v>-90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530</v>
      </c>
      <c r="F70" s="7" t="s">
        <v>532</v>
      </c>
      <c r="H70" s="4">
        <v>198</v>
      </c>
      <c r="I70" s="1">
        <f t="shared" si="13"/>
        <v>198</v>
      </c>
    </row>
    <row r="71" spans="1:9" x14ac:dyDescent="0.3">
      <c r="A71" s="41"/>
      <c r="B71" s="41" t="s">
        <v>29</v>
      </c>
      <c r="C71" s="2">
        <f>SUM(C64:C70)</f>
        <v>1825</v>
      </c>
      <c r="D71" s="2">
        <f>SUM(D64:D70)</f>
        <v>1970</v>
      </c>
      <c r="E71" s="6"/>
      <c r="F71" s="7"/>
      <c r="H71" s="2">
        <f>SUM(H64:H70)</f>
        <v>1697</v>
      </c>
      <c r="I71" s="2">
        <f>SUM(I64:I70)</f>
        <v>-128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525</v>
      </c>
      <c r="F72" s="7"/>
      <c r="H72" s="4">
        <v>-5</v>
      </c>
      <c r="I72" s="1">
        <f>H72-C72</f>
        <v>-5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525</v>
      </c>
      <c r="F73" s="7"/>
      <c r="H73" s="4">
        <v>32</v>
      </c>
      <c r="I73" s="1">
        <f t="shared" ref="I73:I78" si="14">H73-C73</f>
        <v>32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530</v>
      </c>
      <c r="F74" s="7"/>
      <c r="H74" s="4">
        <v>-2</v>
      </c>
      <c r="I74" s="1">
        <f t="shared" si="14"/>
        <v>-2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530</v>
      </c>
      <c r="F75" s="7" t="s">
        <v>533</v>
      </c>
      <c r="H75" s="4">
        <v>-348</v>
      </c>
      <c r="I75" s="1">
        <f t="shared" si="14"/>
        <v>-348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/>
      <c r="F76" s="7"/>
      <c r="H76" s="4">
        <v>14</v>
      </c>
      <c r="I76" s="1">
        <f t="shared" si="14"/>
        <v>14</v>
      </c>
    </row>
    <row r="77" spans="1:9" x14ac:dyDescent="0.3">
      <c r="A77" s="41"/>
      <c r="B77" s="41" t="s">
        <v>52</v>
      </c>
      <c r="C77" s="4"/>
      <c r="D77" s="4">
        <v>2270</v>
      </c>
      <c r="E77" s="6" t="s">
        <v>534</v>
      </c>
      <c r="F77" s="7"/>
      <c r="H77" s="4">
        <v>122</v>
      </c>
      <c r="I77" s="1">
        <f t="shared" si="14"/>
        <v>122</v>
      </c>
    </row>
    <row r="78" spans="1:9" x14ac:dyDescent="0.3">
      <c r="A78" s="41"/>
      <c r="B78" s="41" t="s">
        <v>54</v>
      </c>
      <c r="C78" s="4">
        <v>1970</v>
      </c>
      <c r="D78" s="4">
        <v>0</v>
      </c>
      <c r="E78" s="6"/>
      <c r="F78" s="7"/>
      <c r="H78" s="4">
        <v>1916</v>
      </c>
      <c r="I78" s="1">
        <f t="shared" si="14"/>
        <v>-54</v>
      </c>
    </row>
    <row r="79" spans="1:9" x14ac:dyDescent="0.3">
      <c r="A79" s="41"/>
      <c r="B79" s="41" t="s">
        <v>11</v>
      </c>
      <c r="C79" s="2">
        <f>SUM(C72:C78)</f>
        <v>1970</v>
      </c>
      <c r="D79" s="2">
        <f>SUM(D72:D78)</f>
        <v>2270</v>
      </c>
      <c r="E79" s="6"/>
      <c r="F79" s="7"/>
      <c r="H79" s="2">
        <f t="shared" ref="H79:I79" si="15">SUM(H72:H78)</f>
        <v>1729</v>
      </c>
      <c r="I79" s="2">
        <f t="shared" si="15"/>
        <v>-241</v>
      </c>
    </row>
    <row r="80" spans="1:9" x14ac:dyDescent="0.3">
      <c r="A80" s="41"/>
      <c r="B80" s="41" t="s">
        <v>12</v>
      </c>
      <c r="C80" s="3">
        <f>SUM(C79+C71+C63+C55)</f>
        <v>6240</v>
      </c>
      <c r="D80" s="3">
        <f>SUM(D79+D71+D63+D55)</f>
        <v>6065</v>
      </c>
      <c r="E80" s="6"/>
      <c r="F80" s="7"/>
      <c r="H80" s="3">
        <f t="shared" ref="H80:I80" si="16">SUM(H79+H71+H63+H55)</f>
        <v>5866</v>
      </c>
      <c r="I80" s="3">
        <f t="shared" si="16"/>
        <v>-374</v>
      </c>
    </row>
    <row r="81" spans="1:9" x14ac:dyDescent="0.3">
      <c r="A81" s="41"/>
      <c r="B81" s="41" t="s">
        <v>13</v>
      </c>
      <c r="C81" s="1">
        <f>D80+C80</f>
        <v>12305</v>
      </c>
      <c r="E81" s="24"/>
      <c r="F81" s="25"/>
      <c r="H81" s="1">
        <f t="shared" ref="H81:I81" si="17">I80+H80</f>
        <v>5492</v>
      </c>
      <c r="I81" s="1">
        <f t="shared" si="17"/>
        <v>-374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2270</v>
      </c>
      <c r="D83" s="41"/>
      <c r="E83" s="43" t="s">
        <v>55</v>
      </c>
      <c r="F83" s="30" t="s">
        <v>523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525</v>
      </c>
      <c r="F92" s="7"/>
      <c r="H92" s="4">
        <v>-5</v>
      </c>
      <c r="I92" s="1">
        <f>H92-C92</f>
        <v>-5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525</v>
      </c>
      <c r="F93" s="7"/>
      <c r="H93" s="4">
        <v>8</v>
      </c>
      <c r="I93" s="1">
        <f t="shared" ref="I93:I98" si="18">H93-C93</f>
        <v>8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530</v>
      </c>
      <c r="F94" s="7"/>
      <c r="H94" s="4">
        <v>-13</v>
      </c>
      <c r="I94" s="1">
        <f t="shared" si="18"/>
        <v>-13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530</v>
      </c>
      <c r="F95" s="7"/>
      <c r="H95" s="4">
        <v>-19</v>
      </c>
      <c r="I95" s="1">
        <f t="shared" si="18"/>
        <v>-19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530</v>
      </c>
      <c r="F96" s="7"/>
      <c r="H96" s="4">
        <v>48</v>
      </c>
      <c r="I96" s="1">
        <f t="shared" si="18"/>
        <v>48</v>
      </c>
    </row>
    <row r="97" spans="1:9" x14ac:dyDescent="0.3">
      <c r="A97" s="41"/>
      <c r="B97" s="41" t="s">
        <v>65</v>
      </c>
      <c r="C97" s="4">
        <v>2270</v>
      </c>
      <c r="D97" s="4">
        <v>2325</v>
      </c>
      <c r="E97" s="6" t="s">
        <v>530</v>
      </c>
      <c r="F97" s="7"/>
      <c r="H97" s="4">
        <v>2272</v>
      </c>
      <c r="I97" s="1">
        <f t="shared" si="18"/>
        <v>2</v>
      </c>
    </row>
    <row r="98" spans="1:9" x14ac:dyDescent="0.3">
      <c r="A98" s="41"/>
      <c r="B98" s="41" t="s">
        <v>66</v>
      </c>
      <c r="C98" s="4">
        <v>0</v>
      </c>
      <c r="D98" s="4">
        <v>0</v>
      </c>
      <c r="E98" s="6"/>
      <c r="F98" s="7"/>
      <c r="H98" s="4">
        <v>0</v>
      </c>
      <c r="I98" s="1">
        <f t="shared" si="18"/>
        <v>0</v>
      </c>
    </row>
    <row r="99" spans="1:9" x14ac:dyDescent="0.3">
      <c r="A99" s="41"/>
      <c r="B99" s="41" t="s">
        <v>29</v>
      </c>
      <c r="C99" s="2">
        <f>SUM(C92:C98)</f>
        <v>2270</v>
      </c>
      <c r="D99" s="2">
        <f>SUM(D92:D98)</f>
        <v>2325</v>
      </c>
      <c r="E99" s="6"/>
      <c r="F99" s="7"/>
      <c r="H99" s="2"/>
      <c r="I99" s="2">
        <f>SUM(I92:I98)</f>
        <v>21</v>
      </c>
    </row>
    <row r="100" spans="1:9" x14ac:dyDescent="0.3">
      <c r="A100" s="41"/>
      <c r="B100" s="41" t="s">
        <v>67</v>
      </c>
      <c r="C100" s="4">
        <v>0</v>
      </c>
      <c r="D100" s="4">
        <v>0</v>
      </c>
      <c r="E100" s="6"/>
      <c r="F100" s="7"/>
      <c r="H100" s="4"/>
      <c r="I100" s="1"/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/>
      <c r="I101" s="1">
        <f t="shared" ref="I101:I106" si="19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19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19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9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9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9"/>
        <v>0</v>
      </c>
    </row>
    <row r="107" spans="1:9" x14ac:dyDescent="0.3">
      <c r="A107" s="41"/>
      <c r="B107" s="41" t="s">
        <v>29</v>
      </c>
      <c r="C107" s="2">
        <f>SUM(C100:C106)</f>
        <v>0</v>
      </c>
      <c r="D107" s="2">
        <f>SUM(D100:D106)</f>
        <v>0</v>
      </c>
      <c r="E107" s="6"/>
      <c r="F107" s="7"/>
      <c r="H107" s="2">
        <f>SUM(H100:H106)</f>
        <v>0</v>
      </c>
      <c r="I107" s="2">
        <f>SUM(I100:I106)</f>
        <v>0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0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0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0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0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0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0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1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1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1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1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1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21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2">SUM(H116:H122)</f>
        <v>0</v>
      </c>
      <c r="I123" s="2">
        <f t="shared" si="22"/>
        <v>0</v>
      </c>
    </row>
    <row r="124" spans="1:9" x14ac:dyDescent="0.3">
      <c r="A124" s="41"/>
      <c r="B124" s="41" t="s">
        <v>12</v>
      </c>
      <c r="C124" s="3">
        <f>SUM(C123+C115+C107+C99)</f>
        <v>2270</v>
      </c>
      <c r="D124" s="3">
        <f>SUM(D123+D115+D107+D99)</f>
        <v>2325</v>
      </c>
      <c r="E124" s="6"/>
      <c r="F124" s="7"/>
      <c r="H124" s="3">
        <f t="shared" ref="H124:I124" si="23">SUM(H123+H115+H107+H99)</f>
        <v>0</v>
      </c>
      <c r="I124" s="3">
        <f t="shared" si="23"/>
        <v>21</v>
      </c>
    </row>
    <row r="125" spans="1:9" x14ac:dyDescent="0.3">
      <c r="A125" s="41"/>
      <c r="B125" s="41" t="s">
        <v>13</v>
      </c>
      <c r="C125" s="1">
        <f>D124+C124</f>
        <v>4595</v>
      </c>
      <c r="E125" s="24"/>
      <c r="F125" s="25"/>
      <c r="H125" s="1">
        <f t="shared" ref="H125:I125" si="24">I124+H124</f>
        <v>21</v>
      </c>
      <c r="I125" s="1">
        <f t="shared" si="24"/>
        <v>21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5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5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5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5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5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5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6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6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6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6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6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6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7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7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7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7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7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7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8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8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8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8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8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8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9">SUM(H160:H166)</f>
        <v>0</v>
      </c>
      <c r="I167" s="2">
        <f t="shared" si="29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0">SUM(H167+H159+H151+H143)</f>
        <v>0</v>
      </c>
      <c r="I168" s="3">
        <f t="shared" si="30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1">I168+H168</f>
        <v>0</v>
      </c>
      <c r="I169" s="1">
        <f t="shared" si="31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2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2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2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2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2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2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3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3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3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3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3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3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4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4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4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4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4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4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5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5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5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5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5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5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6">SUM(H204:H210)</f>
        <v>0</v>
      </c>
      <c r="I211" s="2">
        <f t="shared" si="36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7">SUM(H211+H203+H195+H187)</f>
        <v>0</v>
      </c>
      <c r="I212" s="3">
        <f t="shared" si="37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8">I212+H212</f>
        <v>0</v>
      </c>
      <c r="I213" s="1">
        <f t="shared" si="38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CE289-6310-4CD4-9E69-36C5CA20A74F}">
  <sheetPr codeName="Sheet23"/>
  <dimension ref="A1:I222"/>
  <sheetViews>
    <sheetView showGridLines="0" workbookViewId="0">
      <pane xSplit="2" ySplit="3" topLeftCell="C90" activePane="bottomRight" state="frozen"/>
      <selection pane="topRight" activeCell="C23" sqref="C23"/>
      <selection pane="bottomLeft" activeCell="C23" sqref="C23"/>
      <selection pane="bottomRight" activeCell="K3" sqref="K3"/>
    </sheetView>
  </sheetViews>
  <sheetFormatPr defaultColWidth="8.88671875" defaultRowHeight="14.4" x14ac:dyDescent="0.3"/>
  <cols>
    <col min="1" max="1" width="0.88671875" customWidth="1"/>
    <col min="2" max="2" width="38" style="16" bestFit="1" customWidth="1"/>
    <col min="3" max="3" width="10.33203125" customWidth="1"/>
    <col min="4" max="4" width="11" customWidth="1"/>
    <col min="6" max="6" width="57.44140625" customWidth="1"/>
    <col min="7" max="7" width="0.88671875" customWidth="1"/>
  </cols>
  <sheetData>
    <row r="1" spans="2:9" ht="18.75" customHeight="1" x14ac:dyDescent="0.3">
      <c r="B1" s="15"/>
      <c r="C1" s="14" t="s">
        <v>535</v>
      </c>
      <c r="D1" s="14"/>
    </row>
    <row r="2" spans="2:9" x14ac:dyDescent="0.3">
      <c r="C2" s="5" t="s">
        <v>1</v>
      </c>
      <c r="D2" s="5"/>
    </row>
    <row r="3" spans="2:9" ht="86.4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 t="s">
        <v>536</v>
      </c>
      <c r="F4" s="7"/>
      <c r="H4" s="4">
        <v>3</v>
      </c>
      <c r="I4" s="1">
        <f>H4-C4</f>
        <v>3</v>
      </c>
    </row>
    <row r="5" spans="2:9" x14ac:dyDescent="0.3">
      <c r="B5" s="20">
        <f>B4+1</f>
        <v>46244</v>
      </c>
      <c r="C5" s="4">
        <v>0</v>
      </c>
      <c r="D5" s="4">
        <v>0</v>
      </c>
      <c r="E5" s="6" t="s">
        <v>536</v>
      </c>
      <c r="F5" s="7"/>
      <c r="H5" s="4">
        <v>12</v>
      </c>
      <c r="I5" s="1">
        <f t="shared" ref="I5:I10" si="0">H5-C5</f>
        <v>12</v>
      </c>
    </row>
    <row r="6" spans="2:9" x14ac:dyDescent="0.3">
      <c r="B6" s="20">
        <f t="shared" ref="B6:B10" si="1">B5+1</f>
        <v>46245</v>
      </c>
      <c r="C6" s="4">
        <v>0</v>
      </c>
      <c r="D6" s="4">
        <v>1055</v>
      </c>
      <c r="E6" s="6" t="s">
        <v>537</v>
      </c>
      <c r="F6" s="7" t="s">
        <v>538</v>
      </c>
      <c r="H6" s="4">
        <v>12.62</v>
      </c>
      <c r="I6" s="1">
        <f t="shared" si="0"/>
        <v>12.62</v>
      </c>
    </row>
    <row r="7" spans="2:9" x14ac:dyDescent="0.3">
      <c r="B7" s="20">
        <f t="shared" si="1"/>
        <v>46246</v>
      </c>
      <c r="C7" s="4">
        <v>0</v>
      </c>
      <c r="D7" s="4">
        <v>0</v>
      </c>
      <c r="E7" s="6" t="s">
        <v>536</v>
      </c>
      <c r="F7" s="7"/>
      <c r="H7" s="4">
        <v>-33.93</v>
      </c>
      <c r="I7" s="1">
        <f t="shared" si="0"/>
        <v>-33.93</v>
      </c>
    </row>
    <row r="8" spans="2:9" x14ac:dyDescent="0.3">
      <c r="B8" s="20">
        <f t="shared" si="1"/>
        <v>46247</v>
      </c>
      <c r="C8" s="4">
        <v>450</v>
      </c>
      <c r="D8" s="4">
        <v>0</v>
      </c>
      <c r="E8" s="6" t="s">
        <v>539</v>
      </c>
      <c r="F8" s="7" t="s">
        <v>540</v>
      </c>
      <c r="H8" s="4">
        <v>465.92</v>
      </c>
      <c r="I8" s="1">
        <f t="shared" si="0"/>
        <v>15.920000000000016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>
        <v>19.600000000000001</v>
      </c>
      <c r="I9" s="1">
        <f t="shared" si="0"/>
        <v>19.600000000000001</v>
      </c>
    </row>
    <row r="10" spans="2:9" ht="15" thickBot="1" x14ac:dyDescent="0.35">
      <c r="B10" s="20">
        <f t="shared" si="1"/>
        <v>46249</v>
      </c>
      <c r="C10" s="4">
        <v>271</v>
      </c>
      <c r="D10" s="4">
        <v>0</v>
      </c>
      <c r="E10" s="6" t="s">
        <v>539</v>
      </c>
      <c r="F10" s="7" t="s">
        <v>540</v>
      </c>
      <c r="H10" s="4">
        <v>2.6</v>
      </c>
      <c r="I10" s="1">
        <f t="shared" si="0"/>
        <v>-268.39999999999998</v>
      </c>
    </row>
    <row r="11" spans="2:9" x14ac:dyDescent="0.3">
      <c r="B11" s="21" t="s">
        <v>11</v>
      </c>
      <c r="C11" s="2">
        <f>SUM(C4:C10)</f>
        <v>721</v>
      </c>
      <c r="D11" s="2">
        <f>SUM(D4:D10)</f>
        <v>1055</v>
      </c>
      <c r="E11" s="6"/>
      <c r="F11" s="7"/>
      <c r="H11" s="2">
        <f>SUM(H4:H10)</f>
        <v>481.81000000000006</v>
      </c>
      <c r="I11" s="2">
        <f>SUM(I4:I10)</f>
        <v>-239.18999999999997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>
        <v>413.17</v>
      </c>
      <c r="I12" s="1">
        <f>H12-C12</f>
        <v>413.17</v>
      </c>
    </row>
    <row r="13" spans="2:9" x14ac:dyDescent="0.3">
      <c r="B13" s="20">
        <f>B12+1</f>
        <v>46251</v>
      </c>
      <c r="C13" s="4">
        <v>334</v>
      </c>
      <c r="D13" s="4">
        <v>0</v>
      </c>
      <c r="E13" s="6" t="s">
        <v>537</v>
      </c>
      <c r="F13" s="7" t="s">
        <v>540</v>
      </c>
      <c r="H13" s="4">
        <v>176.1</v>
      </c>
      <c r="I13" s="1">
        <f t="shared" ref="I13:I18" si="2">H13-C13</f>
        <v>-157.9</v>
      </c>
    </row>
    <row r="14" spans="2:9" x14ac:dyDescent="0.3">
      <c r="B14" s="20">
        <f t="shared" ref="B14:B18" si="3">B13+1</f>
        <v>46252</v>
      </c>
      <c r="C14" s="4">
        <v>0</v>
      </c>
      <c r="D14" s="4">
        <v>1055</v>
      </c>
      <c r="E14" s="6" t="s">
        <v>537</v>
      </c>
      <c r="F14" s="7" t="s">
        <v>538</v>
      </c>
      <c r="H14" s="4">
        <v>57.3</v>
      </c>
      <c r="I14" s="1">
        <f t="shared" si="2"/>
        <v>57.3</v>
      </c>
    </row>
    <row r="15" spans="2:9" x14ac:dyDescent="0.3">
      <c r="B15" s="20">
        <f t="shared" si="3"/>
        <v>46253</v>
      </c>
      <c r="C15" s="4">
        <v>280</v>
      </c>
      <c r="D15" s="4">
        <v>0</v>
      </c>
      <c r="E15" s="6" t="s">
        <v>539</v>
      </c>
      <c r="F15" s="7" t="s">
        <v>540</v>
      </c>
      <c r="H15" s="4">
        <v>295.14999999999998</v>
      </c>
      <c r="I15" s="1">
        <f t="shared" si="2"/>
        <v>15.149999999999977</v>
      </c>
    </row>
    <row r="16" spans="2:9" x14ac:dyDescent="0.3">
      <c r="B16" s="20">
        <f t="shared" si="3"/>
        <v>46254</v>
      </c>
      <c r="C16" s="4">
        <v>0</v>
      </c>
      <c r="D16" s="4">
        <v>0</v>
      </c>
      <c r="E16" s="6"/>
      <c r="F16" s="7"/>
      <c r="H16" s="4">
        <v>1.68</v>
      </c>
      <c r="I16" s="1">
        <f t="shared" si="2"/>
        <v>1.68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>
        <v>37.619999999999997</v>
      </c>
      <c r="I17" s="1">
        <f t="shared" si="2"/>
        <v>37.619999999999997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>
        <v>-31.69</v>
      </c>
      <c r="I18" s="1">
        <f t="shared" si="2"/>
        <v>-31.69</v>
      </c>
    </row>
    <row r="19" spans="2:9" x14ac:dyDescent="0.3">
      <c r="B19" s="21" t="s">
        <v>11</v>
      </c>
      <c r="C19" s="2">
        <f>SUM(C12:C18)</f>
        <v>614</v>
      </c>
      <c r="D19" s="2">
        <f>SUM(D12:D18)</f>
        <v>1055</v>
      </c>
      <c r="E19" s="6"/>
      <c r="F19" s="7"/>
      <c r="H19" s="2">
        <f>SUM(H12:H18)</f>
        <v>949.32999999999981</v>
      </c>
      <c r="I19" s="2">
        <f>SUM(I12:I18)</f>
        <v>335.33</v>
      </c>
    </row>
    <row r="20" spans="2:9" x14ac:dyDescent="0.3">
      <c r="B20" s="20">
        <f>B18+1</f>
        <v>46257</v>
      </c>
      <c r="C20" s="4">
        <v>475</v>
      </c>
      <c r="D20" s="4">
        <v>0</v>
      </c>
      <c r="E20" s="6" t="s">
        <v>539</v>
      </c>
      <c r="F20" s="7" t="s">
        <v>540</v>
      </c>
      <c r="H20" s="4">
        <v>471.49</v>
      </c>
      <c r="I20" s="1">
        <f>H20-C20</f>
        <v>-3.5099999999999909</v>
      </c>
    </row>
    <row r="21" spans="2:9" x14ac:dyDescent="0.3">
      <c r="B21" s="20">
        <f>B20+1</f>
        <v>46258</v>
      </c>
      <c r="C21" s="4">
        <v>0</v>
      </c>
      <c r="D21" s="4">
        <v>0</v>
      </c>
      <c r="E21" s="6" t="s">
        <v>536</v>
      </c>
      <c r="F21" s="7"/>
      <c r="H21" s="4">
        <v>13.07</v>
      </c>
      <c r="I21" s="1">
        <f t="shared" ref="I21:I26" si="4">H21-C21</f>
        <v>13.07</v>
      </c>
    </row>
    <row r="22" spans="2:9" x14ac:dyDescent="0.3">
      <c r="B22" s="20">
        <f t="shared" ref="B22:B26" si="5">B21+1</f>
        <v>46259</v>
      </c>
      <c r="C22" s="4">
        <v>300</v>
      </c>
      <c r="D22" s="4">
        <v>995</v>
      </c>
      <c r="E22" s="6" t="s">
        <v>541</v>
      </c>
      <c r="F22" s="7" t="s">
        <v>538</v>
      </c>
      <c r="H22" s="4">
        <v>303.48</v>
      </c>
      <c r="I22" s="1">
        <f t="shared" si="4"/>
        <v>3.4800000000000182</v>
      </c>
    </row>
    <row r="23" spans="2:9" x14ac:dyDescent="0.3">
      <c r="B23" s="20">
        <f t="shared" si="5"/>
        <v>46260</v>
      </c>
      <c r="C23" s="4">
        <v>640</v>
      </c>
      <c r="D23" s="4">
        <v>0</v>
      </c>
      <c r="E23" s="6" t="s">
        <v>539</v>
      </c>
      <c r="F23" s="7" t="s">
        <v>540</v>
      </c>
      <c r="H23" s="4">
        <v>630.02</v>
      </c>
      <c r="I23" s="1">
        <f t="shared" si="4"/>
        <v>-9.9800000000000182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 t="s">
        <v>536</v>
      </c>
      <c r="F24" s="7"/>
      <c r="H24" s="4">
        <v>-4.72</v>
      </c>
      <c r="I24" s="1">
        <f t="shared" si="4"/>
        <v>-4.72</v>
      </c>
    </row>
    <row r="25" spans="2:9" x14ac:dyDescent="0.3">
      <c r="B25" s="20">
        <f t="shared" si="5"/>
        <v>46262</v>
      </c>
      <c r="C25" s="4">
        <v>0</v>
      </c>
      <c r="D25" s="4">
        <v>0</v>
      </c>
      <c r="E25" s="6" t="s">
        <v>536</v>
      </c>
      <c r="F25" s="7"/>
      <c r="H25" s="4">
        <v>25.99</v>
      </c>
      <c r="I25" s="1">
        <f t="shared" si="4"/>
        <v>25.99</v>
      </c>
    </row>
    <row r="26" spans="2:9" ht="15" thickBot="1" x14ac:dyDescent="0.35">
      <c r="B26" s="20">
        <f t="shared" si="5"/>
        <v>46263</v>
      </c>
      <c r="C26" s="4">
        <v>0</v>
      </c>
      <c r="D26" s="4">
        <v>0</v>
      </c>
      <c r="E26" s="6" t="s">
        <v>536</v>
      </c>
      <c r="F26" s="7"/>
      <c r="H26" s="4">
        <v>68.239999999999995</v>
      </c>
      <c r="I26" s="1">
        <f t="shared" si="4"/>
        <v>68.239999999999995</v>
      </c>
    </row>
    <row r="27" spans="2:9" x14ac:dyDescent="0.3">
      <c r="B27" s="21" t="s">
        <v>11</v>
      </c>
      <c r="C27" s="2">
        <f>SUM(C20:C26)</f>
        <v>1415</v>
      </c>
      <c r="D27" s="2">
        <f>SUM(D20:D26)</f>
        <v>995</v>
      </c>
      <c r="E27" s="6"/>
      <c r="F27" s="7"/>
      <c r="H27" s="2">
        <f>SUM(H20:H26)</f>
        <v>1507.57</v>
      </c>
      <c r="I27" s="2">
        <f>SUM(I20:I26)</f>
        <v>92.570000000000007</v>
      </c>
    </row>
    <row r="28" spans="2:9" x14ac:dyDescent="0.3">
      <c r="B28" s="20">
        <f>B26+1</f>
        <v>46264</v>
      </c>
      <c r="C28" s="4">
        <v>355</v>
      </c>
      <c r="D28" s="4">
        <v>0</v>
      </c>
      <c r="E28" s="6" t="s">
        <v>539</v>
      </c>
      <c r="F28" s="7" t="s">
        <v>540</v>
      </c>
      <c r="H28" s="4">
        <v>307</v>
      </c>
      <c r="I28" s="1">
        <f>H28-C28</f>
        <v>-48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>
        <v>-13</v>
      </c>
      <c r="I29" s="1">
        <f t="shared" ref="I29:I34" si="6">H29-C29</f>
        <v>-13</v>
      </c>
    </row>
    <row r="30" spans="2:9" x14ac:dyDescent="0.3">
      <c r="B30" s="20">
        <f t="shared" ref="B30:B34" si="7">B29+1</f>
        <v>46266</v>
      </c>
      <c r="C30" s="4">
        <v>0</v>
      </c>
      <c r="D30" s="4">
        <v>1130</v>
      </c>
      <c r="E30" s="6" t="s">
        <v>537</v>
      </c>
      <c r="F30" s="7" t="s">
        <v>538</v>
      </c>
      <c r="H30" s="4">
        <v>92</v>
      </c>
      <c r="I30" s="1">
        <f t="shared" si="6"/>
        <v>92</v>
      </c>
    </row>
    <row r="31" spans="2:9" x14ac:dyDescent="0.3">
      <c r="B31" s="20">
        <f t="shared" si="7"/>
        <v>46267</v>
      </c>
      <c r="C31" s="4">
        <v>214</v>
      </c>
      <c r="D31" s="4">
        <v>0</v>
      </c>
      <c r="E31" s="6" t="s">
        <v>539</v>
      </c>
      <c r="F31" s="7" t="s">
        <v>540</v>
      </c>
      <c r="H31" s="4">
        <v>117</v>
      </c>
      <c r="I31" s="1">
        <f t="shared" si="6"/>
        <v>-97</v>
      </c>
    </row>
    <row r="32" spans="2:9" x14ac:dyDescent="0.3">
      <c r="B32" s="20">
        <f t="shared" si="7"/>
        <v>46268</v>
      </c>
      <c r="C32" s="4">
        <v>0</v>
      </c>
      <c r="D32" s="4">
        <v>0</v>
      </c>
      <c r="E32" s="6" t="s">
        <v>536</v>
      </c>
      <c r="F32" s="7"/>
      <c r="H32" s="4">
        <v>-5</v>
      </c>
      <c r="I32" s="1">
        <f t="shared" si="6"/>
        <v>-5</v>
      </c>
    </row>
    <row r="33" spans="1:9" x14ac:dyDescent="0.3">
      <c r="B33" s="20">
        <f t="shared" si="7"/>
        <v>46269</v>
      </c>
      <c r="C33" s="4">
        <v>421</v>
      </c>
      <c r="D33" s="4">
        <v>0</v>
      </c>
      <c r="E33" s="6" t="s">
        <v>539</v>
      </c>
      <c r="F33" s="7" t="s">
        <v>540</v>
      </c>
      <c r="H33" s="4">
        <v>420</v>
      </c>
      <c r="I33" s="1">
        <f t="shared" si="6"/>
        <v>-1</v>
      </c>
    </row>
    <row r="34" spans="1:9" ht="15" thickBot="1" x14ac:dyDescent="0.35">
      <c r="B34" s="20">
        <f t="shared" si="7"/>
        <v>46270</v>
      </c>
      <c r="C34" s="4">
        <v>495</v>
      </c>
      <c r="D34" s="4">
        <v>0</v>
      </c>
      <c r="E34" s="6" t="s">
        <v>539</v>
      </c>
      <c r="F34" s="7" t="s">
        <v>540</v>
      </c>
      <c r="H34" s="4">
        <v>495</v>
      </c>
      <c r="I34" s="1">
        <f t="shared" si="6"/>
        <v>0</v>
      </c>
    </row>
    <row r="35" spans="1:9" x14ac:dyDescent="0.3">
      <c r="B35" s="19" t="s">
        <v>11</v>
      </c>
      <c r="C35" s="2">
        <f>SUM(C28:C34)</f>
        <v>1485</v>
      </c>
      <c r="D35" s="2">
        <f>SUM(D28:D34)</f>
        <v>1130</v>
      </c>
      <c r="E35" s="6"/>
      <c r="F35" s="7"/>
      <c r="H35" s="2">
        <f t="shared" ref="H35:I35" si="8">SUM(H28:H34)</f>
        <v>1413</v>
      </c>
      <c r="I35" s="2">
        <f t="shared" si="8"/>
        <v>-72</v>
      </c>
    </row>
    <row r="36" spans="1:9" x14ac:dyDescent="0.3">
      <c r="B36" s="19" t="s">
        <v>12</v>
      </c>
      <c r="C36" s="3">
        <f>SUM(C35+C27+C19+C11)</f>
        <v>4235</v>
      </c>
      <c r="D36" s="3">
        <f>SUM(D35+D27+D19+D11)</f>
        <v>4235</v>
      </c>
      <c r="E36" s="6"/>
      <c r="F36" s="7"/>
      <c r="H36" s="3">
        <f t="shared" ref="H36:I36" si="9">SUM(H35+H27+H19+H11)</f>
        <v>4351.71</v>
      </c>
      <c r="I36" s="3">
        <f t="shared" si="9"/>
        <v>116.71000000000001</v>
      </c>
    </row>
    <row r="37" spans="1:9" ht="15" thickBot="1" x14ac:dyDescent="0.35">
      <c r="B37" s="19" t="s">
        <v>13</v>
      </c>
      <c r="C37" s="1">
        <f>D36+C36</f>
        <v>8470</v>
      </c>
      <c r="E37" s="24"/>
      <c r="F37" s="25"/>
      <c r="H37" s="1">
        <f t="shared" ref="H37:I37" si="10">I36+H36</f>
        <v>4468.42</v>
      </c>
      <c r="I37" s="1">
        <f t="shared" si="10"/>
        <v>116.71000000000001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0</v>
      </c>
      <c r="E39" s="6" t="s">
        <v>539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/>
      <c r="D48" s="4">
        <v>0</v>
      </c>
      <c r="E48" s="6" t="s">
        <v>539</v>
      </c>
      <c r="F48" s="7"/>
      <c r="H48" s="4">
        <v>51</v>
      </c>
      <c r="I48" s="1">
        <f>H48-C48</f>
        <v>51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539</v>
      </c>
      <c r="F49" s="7" t="s">
        <v>542</v>
      </c>
      <c r="H49" s="4">
        <v>-0.21</v>
      </c>
      <c r="I49" s="1">
        <f t="shared" ref="I49:I54" si="11">H49-C49</f>
        <v>-0.21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536</v>
      </c>
      <c r="F50" s="7"/>
      <c r="H50" s="4">
        <v>-2</v>
      </c>
      <c r="I50" s="1">
        <f t="shared" si="11"/>
        <v>-2</v>
      </c>
    </row>
    <row r="51" spans="1:9" x14ac:dyDescent="0.3">
      <c r="A51" s="41"/>
      <c r="B51" s="41" t="s">
        <v>24</v>
      </c>
      <c r="C51" s="4">
        <v>0</v>
      </c>
      <c r="D51" s="4">
        <v>1129</v>
      </c>
      <c r="E51" s="6" t="s">
        <v>536</v>
      </c>
      <c r="F51" s="7" t="s">
        <v>538</v>
      </c>
      <c r="H51" s="4">
        <v>2</v>
      </c>
      <c r="I51" s="1">
        <f t="shared" si="11"/>
        <v>2</v>
      </c>
    </row>
    <row r="52" spans="1:9" x14ac:dyDescent="0.3">
      <c r="A52" s="41"/>
      <c r="B52" s="41" t="s">
        <v>25</v>
      </c>
      <c r="C52" s="4">
        <v>345</v>
      </c>
      <c r="D52" s="4">
        <v>0</v>
      </c>
      <c r="E52" s="6" t="s">
        <v>539</v>
      </c>
      <c r="F52" s="7" t="s">
        <v>540</v>
      </c>
      <c r="H52" s="4">
        <v>357</v>
      </c>
      <c r="I52" s="1">
        <f t="shared" si="11"/>
        <v>12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539</v>
      </c>
      <c r="F53" s="7"/>
      <c r="H53" s="4">
        <v>-2</v>
      </c>
      <c r="I53" s="1">
        <f t="shared" si="11"/>
        <v>-2</v>
      </c>
    </row>
    <row r="54" spans="1:9" x14ac:dyDescent="0.3">
      <c r="A54" s="41"/>
      <c r="B54" s="41" t="s">
        <v>27</v>
      </c>
      <c r="C54" s="4">
        <v>180</v>
      </c>
      <c r="D54" s="4">
        <v>0</v>
      </c>
      <c r="E54" s="6" t="s">
        <v>539</v>
      </c>
      <c r="F54" s="7" t="s">
        <v>540</v>
      </c>
      <c r="H54" s="4">
        <v>126</v>
      </c>
      <c r="I54" s="1">
        <f t="shared" si="11"/>
        <v>-54</v>
      </c>
    </row>
    <row r="55" spans="1:9" x14ac:dyDescent="0.3">
      <c r="A55" s="41"/>
      <c r="B55" s="41" t="s">
        <v>29</v>
      </c>
      <c r="C55" s="2">
        <f>SUM(C48:C54)</f>
        <v>525</v>
      </c>
      <c r="D55" s="2">
        <f>SUM(D48:D54)</f>
        <v>1129</v>
      </c>
      <c r="E55" s="6"/>
      <c r="F55" s="7"/>
      <c r="H55" s="2">
        <f>SUM(H48:H54)</f>
        <v>531.79</v>
      </c>
      <c r="I55" s="2">
        <f>SUM(I48:I54)</f>
        <v>6.7899999999999991</v>
      </c>
    </row>
    <row r="56" spans="1:9" x14ac:dyDescent="0.3">
      <c r="A56" s="41"/>
      <c r="B56" s="41" t="s">
        <v>30</v>
      </c>
      <c r="C56" s="4">
        <v>290</v>
      </c>
      <c r="D56" s="4">
        <v>0</v>
      </c>
      <c r="E56" s="6" t="s">
        <v>541</v>
      </c>
      <c r="F56" s="7" t="s">
        <v>540</v>
      </c>
      <c r="H56" s="4">
        <v>286</v>
      </c>
      <c r="I56" s="1">
        <f>H56-C56</f>
        <v>-4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541</v>
      </c>
      <c r="F57" s="7"/>
      <c r="H57" s="4">
        <v>1</v>
      </c>
      <c r="I57" s="1">
        <f t="shared" ref="I57:I62" si="12">H57-C57</f>
        <v>1</v>
      </c>
    </row>
    <row r="58" spans="1:9" x14ac:dyDescent="0.3">
      <c r="A58" s="41"/>
      <c r="B58" s="41" t="s">
        <v>32</v>
      </c>
      <c r="C58" s="4">
        <v>0</v>
      </c>
      <c r="D58" s="4">
        <v>1130</v>
      </c>
      <c r="E58" s="6" t="s">
        <v>541</v>
      </c>
      <c r="F58" s="7" t="s">
        <v>538</v>
      </c>
      <c r="H58" s="4">
        <v>6</v>
      </c>
      <c r="I58" s="1">
        <f t="shared" si="12"/>
        <v>6</v>
      </c>
    </row>
    <row r="59" spans="1:9" x14ac:dyDescent="0.3">
      <c r="A59" s="41"/>
      <c r="B59" s="41" t="s">
        <v>34</v>
      </c>
      <c r="C59" s="4">
        <v>310</v>
      </c>
      <c r="D59" s="4">
        <v>0</v>
      </c>
      <c r="E59" s="6" t="s">
        <v>539</v>
      </c>
      <c r="F59" s="7" t="s">
        <v>540</v>
      </c>
      <c r="H59" s="4">
        <v>354</v>
      </c>
      <c r="I59" s="1">
        <f t="shared" si="12"/>
        <v>44</v>
      </c>
    </row>
    <row r="60" spans="1:9" x14ac:dyDescent="0.3">
      <c r="A60" s="41"/>
      <c r="B60" s="41" t="s">
        <v>35</v>
      </c>
      <c r="C60" s="4">
        <v>118</v>
      </c>
      <c r="D60" s="4">
        <v>0</v>
      </c>
      <c r="E60" s="6" t="s">
        <v>539</v>
      </c>
      <c r="F60" s="7" t="s">
        <v>540</v>
      </c>
      <c r="H60" s="4">
        <v>138</v>
      </c>
      <c r="I60" s="1">
        <f t="shared" si="12"/>
        <v>20</v>
      </c>
    </row>
    <row r="61" spans="1:9" x14ac:dyDescent="0.3">
      <c r="A61" s="41"/>
      <c r="B61" s="41" t="s">
        <v>36</v>
      </c>
      <c r="C61" s="4">
        <v>0</v>
      </c>
      <c r="D61" s="4">
        <v>0</v>
      </c>
      <c r="E61" s="6" t="s">
        <v>536</v>
      </c>
      <c r="F61" s="7" t="s">
        <v>543</v>
      </c>
      <c r="H61" s="4">
        <v>-294.64</v>
      </c>
      <c r="I61" s="1">
        <f t="shared" si="12"/>
        <v>-294.64</v>
      </c>
    </row>
    <row r="62" spans="1:9" x14ac:dyDescent="0.3">
      <c r="A62" s="41"/>
      <c r="B62" s="41" t="s">
        <v>37</v>
      </c>
      <c r="C62" s="4">
        <v>264</v>
      </c>
      <c r="D62" s="4">
        <v>0</v>
      </c>
      <c r="E62" s="6" t="s">
        <v>539</v>
      </c>
      <c r="F62" s="7" t="s">
        <v>540</v>
      </c>
      <c r="H62" s="4">
        <v>593</v>
      </c>
      <c r="I62" s="1">
        <f t="shared" si="12"/>
        <v>329</v>
      </c>
    </row>
    <row r="63" spans="1:9" x14ac:dyDescent="0.3">
      <c r="A63" s="41"/>
      <c r="B63" s="41" t="s">
        <v>29</v>
      </c>
      <c r="C63" s="2">
        <f>SUM(C56:C62)</f>
        <v>982</v>
      </c>
      <c r="D63" s="2">
        <f>SUM(D56:D62)</f>
        <v>1130</v>
      </c>
      <c r="E63" s="6"/>
      <c r="F63" s="7"/>
      <c r="H63" s="2">
        <f>SUM(H56:H62)</f>
        <v>1083.3600000000001</v>
      </c>
      <c r="I63" s="2">
        <f>SUM(I56:I62)</f>
        <v>101.36000000000001</v>
      </c>
    </row>
    <row r="64" spans="1:9" x14ac:dyDescent="0.3">
      <c r="A64" s="41"/>
      <c r="B64" s="41" t="s">
        <v>38</v>
      </c>
      <c r="C64" s="4">
        <v>86</v>
      </c>
      <c r="D64" s="4">
        <v>0</v>
      </c>
      <c r="E64" s="6" t="s">
        <v>539</v>
      </c>
      <c r="F64" s="7" t="s">
        <v>540</v>
      </c>
      <c r="H64" s="4">
        <v>-387</v>
      </c>
      <c r="I64" s="1">
        <f>H64-C64</f>
        <v>-473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539</v>
      </c>
      <c r="F65" s="7"/>
      <c r="H65" s="4">
        <v>39</v>
      </c>
      <c r="I65" s="1">
        <f t="shared" ref="I65:I70" si="13">H65-C65</f>
        <v>39</v>
      </c>
    </row>
    <row r="66" spans="1:9" x14ac:dyDescent="0.3">
      <c r="A66" s="41"/>
      <c r="B66" s="41" t="s">
        <v>40</v>
      </c>
      <c r="C66" s="4"/>
      <c r="D66" s="4">
        <v>1020</v>
      </c>
      <c r="E66" s="6" t="s">
        <v>536</v>
      </c>
      <c r="F66" s="7" t="s">
        <v>544</v>
      </c>
      <c r="H66" s="4">
        <v>-0.33</v>
      </c>
      <c r="I66" s="1">
        <f t="shared" si="13"/>
        <v>-0.33</v>
      </c>
    </row>
    <row r="67" spans="1:9" x14ac:dyDescent="0.3">
      <c r="A67" s="41"/>
      <c r="B67" s="41" t="s">
        <v>41</v>
      </c>
      <c r="C67" s="4">
        <v>781</v>
      </c>
      <c r="D67" s="4">
        <v>0</v>
      </c>
      <c r="E67" s="6" t="s">
        <v>539</v>
      </c>
      <c r="F67" s="7" t="s">
        <v>540</v>
      </c>
      <c r="H67" s="4">
        <v>1121</v>
      </c>
      <c r="I67" s="1">
        <f t="shared" si="13"/>
        <v>340</v>
      </c>
    </row>
    <row r="68" spans="1:9" x14ac:dyDescent="0.3">
      <c r="A68" s="41"/>
      <c r="B68" s="41" t="s">
        <v>42</v>
      </c>
      <c r="C68" s="4">
        <v>0</v>
      </c>
      <c r="D68" s="4">
        <v>0</v>
      </c>
      <c r="E68" s="6" t="s">
        <v>539</v>
      </c>
      <c r="F68" s="7"/>
      <c r="H68" s="4">
        <v>18</v>
      </c>
      <c r="I68" s="1">
        <f t="shared" si="13"/>
        <v>18</v>
      </c>
    </row>
    <row r="69" spans="1:9" x14ac:dyDescent="0.3">
      <c r="A69" s="41"/>
      <c r="B69" s="41" t="s">
        <v>44</v>
      </c>
      <c r="C69" s="4">
        <v>240</v>
      </c>
      <c r="D69" s="4">
        <v>0</v>
      </c>
      <c r="E69" s="6" t="s">
        <v>536</v>
      </c>
      <c r="F69" s="7"/>
      <c r="H69" s="4">
        <v>258</v>
      </c>
      <c r="I69" s="1">
        <f t="shared" si="13"/>
        <v>18</v>
      </c>
    </row>
    <row r="70" spans="1:9" x14ac:dyDescent="0.3">
      <c r="A70" s="41"/>
      <c r="B70" s="41" t="s">
        <v>45</v>
      </c>
      <c r="C70" s="4">
        <v>100</v>
      </c>
      <c r="D70" s="4">
        <v>0</v>
      </c>
      <c r="E70" s="6" t="s">
        <v>545</v>
      </c>
      <c r="F70" s="7"/>
      <c r="H70" s="4">
        <v>113</v>
      </c>
      <c r="I70" s="1">
        <f t="shared" si="13"/>
        <v>13</v>
      </c>
    </row>
    <row r="71" spans="1:9" x14ac:dyDescent="0.3">
      <c r="A71" s="41"/>
      <c r="B71" s="41" t="s">
        <v>29</v>
      </c>
      <c r="C71" s="2">
        <f>SUM(C64:C70)</f>
        <v>1207</v>
      </c>
      <c r="D71" s="2">
        <f>SUM(D64:D70)</f>
        <v>1020</v>
      </c>
      <c r="E71" s="6"/>
      <c r="F71" s="7"/>
      <c r="H71" s="2">
        <f>SUM(H64:H70)</f>
        <v>1161.67</v>
      </c>
      <c r="I71" s="2">
        <f>SUM(I64:I70)</f>
        <v>-45.329999999999984</v>
      </c>
    </row>
    <row r="72" spans="1:9" x14ac:dyDescent="0.3">
      <c r="A72" s="41"/>
      <c r="B72" s="41" t="s">
        <v>46</v>
      </c>
      <c r="C72" s="4"/>
      <c r="D72" s="4">
        <v>0</v>
      </c>
      <c r="E72" s="6" t="s">
        <v>537</v>
      </c>
      <c r="F72" s="7" t="s">
        <v>546</v>
      </c>
      <c r="H72" s="4">
        <v>12</v>
      </c>
      <c r="I72" s="1">
        <f>H72-C72</f>
        <v>12</v>
      </c>
    </row>
    <row r="73" spans="1:9" x14ac:dyDescent="0.3">
      <c r="A73" s="41"/>
      <c r="B73" s="41" t="s">
        <v>47</v>
      </c>
      <c r="C73" s="4">
        <v>0</v>
      </c>
      <c r="D73" s="4">
        <v>0</v>
      </c>
      <c r="E73" s="6" t="s">
        <v>547</v>
      </c>
      <c r="F73" s="7" t="s">
        <v>548</v>
      </c>
      <c r="H73" s="4">
        <v>16</v>
      </c>
      <c r="I73" s="1">
        <f t="shared" ref="I73:I78" si="14">H73-C73</f>
        <v>16</v>
      </c>
    </row>
    <row r="74" spans="1:9" x14ac:dyDescent="0.3">
      <c r="A74" s="41"/>
      <c r="B74" s="41" t="s">
        <v>48</v>
      </c>
      <c r="C74" s="4">
        <v>0</v>
      </c>
      <c r="D74" s="4">
        <v>925</v>
      </c>
      <c r="E74" s="6" t="s">
        <v>549</v>
      </c>
      <c r="F74" s="7" t="s">
        <v>550</v>
      </c>
      <c r="H74" s="4">
        <v>-2</v>
      </c>
      <c r="I74" s="1">
        <f t="shared" si="14"/>
        <v>-2</v>
      </c>
    </row>
    <row r="75" spans="1:9" x14ac:dyDescent="0.3">
      <c r="A75" s="41"/>
      <c r="B75" s="41" t="s">
        <v>50</v>
      </c>
      <c r="C75" s="4">
        <v>565</v>
      </c>
      <c r="D75" s="4">
        <v>0</v>
      </c>
      <c r="E75" s="6" t="s">
        <v>545</v>
      </c>
      <c r="F75" s="7" t="s">
        <v>551</v>
      </c>
      <c r="H75" s="4">
        <v>576</v>
      </c>
      <c r="I75" s="1">
        <f t="shared" si="14"/>
        <v>11</v>
      </c>
    </row>
    <row r="76" spans="1:9" x14ac:dyDescent="0.3">
      <c r="A76" s="41"/>
      <c r="B76" s="41" t="s">
        <v>51</v>
      </c>
      <c r="C76" s="4">
        <v>0</v>
      </c>
      <c r="D76" s="4">
        <v>0</v>
      </c>
      <c r="E76" s="6" t="s">
        <v>539</v>
      </c>
      <c r="F76" s="7" t="s">
        <v>552</v>
      </c>
      <c r="H76" s="4">
        <v>31</v>
      </c>
      <c r="I76" s="1">
        <f t="shared" si="14"/>
        <v>31</v>
      </c>
    </row>
    <row r="77" spans="1:9" x14ac:dyDescent="0.3">
      <c r="A77" s="41"/>
      <c r="B77" s="41" t="s">
        <v>52</v>
      </c>
      <c r="C77" s="4"/>
      <c r="D77" s="4">
        <v>0</v>
      </c>
      <c r="E77" s="6" t="s">
        <v>539</v>
      </c>
      <c r="F77" s="7" t="s">
        <v>553</v>
      </c>
      <c r="H77" s="4">
        <v>18</v>
      </c>
      <c r="I77" s="1">
        <f t="shared" si="14"/>
        <v>18</v>
      </c>
    </row>
    <row r="78" spans="1:9" x14ac:dyDescent="0.3">
      <c r="A78" s="41"/>
      <c r="B78" s="41" t="s">
        <v>54</v>
      </c>
      <c r="C78" s="4">
        <v>925</v>
      </c>
      <c r="D78" s="4">
        <v>0</v>
      </c>
      <c r="E78" s="6" t="s">
        <v>539</v>
      </c>
      <c r="F78" s="7" t="s">
        <v>554</v>
      </c>
      <c r="H78" s="4">
        <v>923</v>
      </c>
      <c r="I78" s="1">
        <f t="shared" si="14"/>
        <v>-2</v>
      </c>
    </row>
    <row r="79" spans="1:9" x14ac:dyDescent="0.3">
      <c r="A79" s="41"/>
      <c r="B79" s="41" t="s">
        <v>11</v>
      </c>
      <c r="C79" s="2">
        <f>SUM(C72:C78)</f>
        <v>1490</v>
      </c>
      <c r="D79" s="2">
        <f>SUM(D72:D78)</f>
        <v>925</v>
      </c>
      <c r="E79" s="6"/>
      <c r="F79" s="7"/>
      <c r="H79" s="2">
        <f t="shared" ref="H79:I79" si="15">SUM(H72:H78)</f>
        <v>1574</v>
      </c>
      <c r="I79" s="2">
        <f t="shared" si="15"/>
        <v>84</v>
      </c>
    </row>
    <row r="80" spans="1:9" x14ac:dyDescent="0.3">
      <c r="A80" s="41"/>
      <c r="B80" s="41" t="s">
        <v>12</v>
      </c>
      <c r="C80" s="3">
        <f>SUM(C79+C71+C63+C55)</f>
        <v>4204</v>
      </c>
      <c r="D80" s="3">
        <f>SUM(D79+D71+D63+D55)</f>
        <v>4204</v>
      </c>
      <c r="E80" s="6"/>
      <c r="F80" s="7"/>
      <c r="H80" s="3">
        <f t="shared" ref="H80:I80" si="16">SUM(H79+H71+H63+H55)</f>
        <v>4350.82</v>
      </c>
      <c r="I80" s="3">
        <f t="shared" si="16"/>
        <v>146.82000000000002</v>
      </c>
    </row>
    <row r="81" spans="1:9" x14ac:dyDescent="0.3">
      <c r="A81" s="41"/>
      <c r="B81" s="41" t="s">
        <v>13</v>
      </c>
      <c r="C81" s="1">
        <f>D80+C80</f>
        <v>8408</v>
      </c>
      <c r="E81" s="24"/>
      <c r="F81" s="25"/>
      <c r="H81" s="1">
        <f t="shared" ref="H81:I81" si="17">I80+H80</f>
        <v>4497.6399999999994</v>
      </c>
      <c r="I81" s="1">
        <f t="shared" si="17"/>
        <v>146.82000000000002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49">
        <v>0</v>
      </c>
      <c r="D83" s="41"/>
      <c r="E83" s="43" t="s">
        <v>539</v>
      </c>
      <c r="F83" s="50" t="s">
        <v>55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49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/>
      <c r="E92" s="6" t="s">
        <v>545</v>
      </c>
      <c r="F92" s="7" t="s">
        <v>555</v>
      </c>
      <c r="H92" s="4">
        <v>48</v>
      </c>
      <c r="I92" s="1">
        <f>H92-C92</f>
        <v>48</v>
      </c>
    </row>
    <row r="93" spans="1:9" x14ac:dyDescent="0.3">
      <c r="A93" s="41"/>
      <c r="B93" s="41" t="s">
        <v>60</v>
      </c>
      <c r="C93" s="4">
        <v>0</v>
      </c>
      <c r="D93" s="4">
        <v>0</v>
      </c>
      <c r="E93" s="6" t="s">
        <v>537</v>
      </c>
      <c r="F93" s="7" t="s">
        <v>556</v>
      </c>
      <c r="H93" s="4">
        <v>16</v>
      </c>
      <c r="I93" s="1">
        <f t="shared" ref="I93:I98" si="18">H93-C93</f>
        <v>16</v>
      </c>
    </row>
    <row r="94" spans="1:9" x14ac:dyDescent="0.3">
      <c r="A94" s="41"/>
      <c r="B94" s="41" t="s">
        <v>61</v>
      </c>
      <c r="C94" s="4">
        <v>0</v>
      </c>
      <c r="D94" s="4">
        <v>1005</v>
      </c>
      <c r="E94" s="6" t="s">
        <v>541</v>
      </c>
      <c r="F94" s="7" t="s">
        <v>557</v>
      </c>
      <c r="H94" s="4">
        <v>10</v>
      </c>
      <c r="I94" s="1">
        <f t="shared" si="18"/>
        <v>10</v>
      </c>
    </row>
    <row r="95" spans="1:9" x14ac:dyDescent="0.3">
      <c r="A95" s="41"/>
      <c r="B95" s="41" t="s">
        <v>63</v>
      </c>
      <c r="C95" s="4">
        <v>419</v>
      </c>
      <c r="D95" s="4">
        <v>0</v>
      </c>
      <c r="E95" s="6" t="s">
        <v>545</v>
      </c>
      <c r="F95" s="7" t="s">
        <v>558</v>
      </c>
      <c r="H95" s="4">
        <v>382</v>
      </c>
      <c r="I95" s="1">
        <f t="shared" si="18"/>
        <v>-37</v>
      </c>
    </row>
    <row r="96" spans="1:9" x14ac:dyDescent="0.3">
      <c r="A96" s="41"/>
      <c r="B96" s="41" t="s">
        <v>64</v>
      </c>
      <c r="C96" s="4">
        <v>0</v>
      </c>
      <c r="D96" s="4">
        <v>0</v>
      </c>
      <c r="E96" s="6" t="s">
        <v>539</v>
      </c>
      <c r="F96" s="7" t="s">
        <v>559</v>
      </c>
      <c r="H96" s="4">
        <v>-11</v>
      </c>
      <c r="I96" s="1">
        <f t="shared" si="18"/>
        <v>-11</v>
      </c>
    </row>
    <row r="97" spans="1:9" x14ac:dyDescent="0.3">
      <c r="A97" s="41"/>
      <c r="B97" s="41" t="s">
        <v>65</v>
      </c>
      <c r="C97" s="4">
        <v>0</v>
      </c>
      <c r="D97" s="4">
        <v>0</v>
      </c>
      <c r="E97" s="6" t="s">
        <v>545</v>
      </c>
      <c r="F97" s="7" t="s">
        <v>560</v>
      </c>
      <c r="H97" s="4">
        <v>-25.25</v>
      </c>
      <c r="I97" s="1">
        <f t="shared" si="18"/>
        <v>-25.25</v>
      </c>
    </row>
    <row r="98" spans="1:9" x14ac:dyDescent="0.3">
      <c r="A98" s="41"/>
      <c r="B98" s="41" t="s">
        <v>66</v>
      </c>
      <c r="C98" s="4">
        <v>100</v>
      </c>
      <c r="D98" s="4">
        <v>0</v>
      </c>
      <c r="E98" s="6" t="s">
        <v>545</v>
      </c>
      <c r="F98" s="7" t="s">
        <v>561</v>
      </c>
      <c r="H98" s="4">
        <v>110</v>
      </c>
      <c r="I98" s="1">
        <f t="shared" si="18"/>
        <v>10</v>
      </c>
    </row>
    <row r="99" spans="1:9" x14ac:dyDescent="0.3">
      <c r="A99" s="41"/>
      <c r="B99" s="41" t="s">
        <v>29</v>
      </c>
      <c r="C99" s="2">
        <f>SUM(C92:C98)</f>
        <v>519</v>
      </c>
      <c r="D99" s="2">
        <f>SUM(D92:D98)</f>
        <v>1005</v>
      </c>
      <c r="E99" s="6"/>
      <c r="F99" s="7"/>
      <c r="H99" s="2">
        <f>SUM(H92:H98)</f>
        <v>529.75</v>
      </c>
      <c r="I99" s="2">
        <f>SUM(I92:I98)</f>
        <v>10.75</v>
      </c>
    </row>
    <row r="100" spans="1:9" x14ac:dyDescent="0.3">
      <c r="A100" s="41"/>
      <c r="B100" s="41" t="s">
        <v>67</v>
      </c>
      <c r="C100" s="4">
        <v>373</v>
      </c>
      <c r="D100" s="4">
        <v>0</v>
      </c>
      <c r="E100" s="6"/>
      <c r="F100" s="7"/>
      <c r="H100" s="4">
        <v>0</v>
      </c>
      <c r="I100" s="1">
        <f>H100-C100</f>
        <v>-373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19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19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19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9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9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9"/>
        <v>0</v>
      </c>
    </row>
    <row r="107" spans="1:9" x14ac:dyDescent="0.3">
      <c r="A107" s="41"/>
      <c r="B107" s="41" t="s">
        <v>29</v>
      </c>
      <c r="C107" s="2">
        <f>SUM(C100:C106)</f>
        <v>373</v>
      </c>
      <c r="D107" s="2">
        <f>SUM(D100:D106)</f>
        <v>0</v>
      </c>
      <c r="E107" s="6"/>
      <c r="F107" s="7"/>
      <c r="H107" s="2">
        <f>SUM(H100:H106)</f>
        <v>0</v>
      </c>
      <c r="I107" s="2">
        <f>SUM(I100:I106)</f>
        <v>-373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0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0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0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0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0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0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1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1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1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1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1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21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2">SUM(H116:H122)</f>
        <v>0</v>
      </c>
      <c r="I123" s="2">
        <f t="shared" si="22"/>
        <v>0</v>
      </c>
    </row>
    <row r="124" spans="1:9" x14ac:dyDescent="0.3">
      <c r="A124" s="41"/>
      <c r="B124" s="41" t="s">
        <v>12</v>
      </c>
      <c r="C124" s="3">
        <f>SUM(C123+C115+C107+C99)</f>
        <v>892</v>
      </c>
      <c r="D124" s="3">
        <f>SUM(D123+D115+D107+D99)</f>
        <v>1005</v>
      </c>
      <c r="E124" s="6"/>
      <c r="F124" s="7"/>
      <c r="H124" s="3">
        <f t="shared" ref="H124:I124" si="23">SUM(H123+H115+H107+H99)</f>
        <v>529.75</v>
      </c>
      <c r="I124" s="3">
        <f t="shared" si="23"/>
        <v>-362.25</v>
      </c>
    </row>
    <row r="125" spans="1:9" x14ac:dyDescent="0.3">
      <c r="A125" s="41"/>
      <c r="B125" s="41" t="s">
        <v>13</v>
      </c>
      <c r="C125" s="1">
        <f>D124+C124</f>
        <v>1897</v>
      </c>
      <c r="E125" s="24"/>
      <c r="F125" s="25"/>
      <c r="H125" s="1">
        <f t="shared" ref="H125:I125" si="24">I124+H124</f>
        <v>167.5</v>
      </c>
      <c r="I125" s="1">
        <f t="shared" si="24"/>
        <v>-362.25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5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5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5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5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5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5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6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6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6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6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6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6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7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7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7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7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7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7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8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8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8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8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8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8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9">SUM(H160:H166)</f>
        <v>0</v>
      </c>
      <c r="I167" s="2">
        <f t="shared" si="29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0">SUM(H167+H159+H151+H143)</f>
        <v>0</v>
      </c>
      <c r="I168" s="3">
        <f t="shared" si="30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1">I168+H168</f>
        <v>0</v>
      </c>
      <c r="I169" s="1">
        <f t="shared" si="31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2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2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2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2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2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2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3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3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3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3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3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3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4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4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4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4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4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4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5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5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5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5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5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5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6">SUM(H204:H210)</f>
        <v>0</v>
      </c>
      <c r="I211" s="2">
        <f t="shared" si="36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7">SUM(H211+H203+H195+H187)</f>
        <v>0</v>
      </c>
      <c r="I212" s="3">
        <f t="shared" si="37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8">I212+H212</f>
        <v>0</v>
      </c>
      <c r="I213" s="1">
        <f t="shared" si="38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5FFC3-55B3-4BCA-A7E0-57E728AB91F2}">
  <sheetPr codeName="Sheet24"/>
  <dimension ref="A1:I222"/>
  <sheetViews>
    <sheetView showGridLines="0" zoomScale="200" workbookViewId="0">
      <pane xSplit="2" ySplit="3" topLeftCell="C89" activePane="bottomRight" state="frozen"/>
      <selection pane="topRight" activeCell="C23" sqref="C23"/>
      <selection pane="bottomLeft" activeCell="C23" sqref="C23"/>
      <selection pane="bottomRight" activeCell="F98" sqref="F98"/>
    </sheetView>
  </sheetViews>
  <sheetFormatPr defaultColWidth="8.88671875" defaultRowHeight="14.4" x14ac:dyDescent="0.3"/>
  <cols>
    <col min="1" max="1" width="0.88671875" customWidth="1"/>
    <col min="2" max="2" width="22.6640625" style="16" customWidth="1"/>
    <col min="3" max="3" width="10.33203125" customWidth="1"/>
    <col min="4" max="4" width="11" customWidth="1"/>
    <col min="6" max="6" width="57.44140625" customWidth="1"/>
    <col min="7" max="7" width="2.6640625" customWidth="1"/>
  </cols>
  <sheetData>
    <row r="1" spans="2:9" ht="18.75" customHeight="1" x14ac:dyDescent="0.3">
      <c r="B1" s="15"/>
      <c r="C1" s="14" t="s">
        <v>562</v>
      </c>
      <c r="D1" s="14"/>
    </row>
    <row r="2" spans="2:9" x14ac:dyDescent="0.3">
      <c r="C2" s="5" t="s">
        <v>1</v>
      </c>
      <c r="D2" s="5"/>
    </row>
    <row r="3" spans="2:9" ht="86.4" x14ac:dyDescent="0.3">
      <c r="B3" s="19"/>
      <c r="C3" s="23" t="s">
        <v>2</v>
      </c>
      <c r="D3" s="18" t="s">
        <v>3</v>
      </c>
      <c r="E3" s="8" t="s">
        <v>4</v>
      </c>
      <c r="F3" s="9" t="s">
        <v>5</v>
      </c>
      <c r="H3" s="22" t="s">
        <v>6</v>
      </c>
      <c r="I3" s="17" t="s">
        <v>7</v>
      </c>
    </row>
    <row r="4" spans="2:9" x14ac:dyDescent="0.3">
      <c r="B4" s="20">
        <f>Control!$B$3</f>
        <v>46243</v>
      </c>
      <c r="C4" s="4">
        <v>0</v>
      </c>
      <c r="D4" s="4">
        <v>0</v>
      </c>
      <c r="E4" s="6"/>
      <c r="F4" s="7"/>
      <c r="H4" s="4"/>
      <c r="I4" s="1">
        <f>H4-C4</f>
        <v>0</v>
      </c>
    </row>
    <row r="5" spans="2:9" x14ac:dyDescent="0.3">
      <c r="B5" s="20">
        <f>B4+1</f>
        <v>46244</v>
      </c>
      <c r="C5" s="4">
        <v>-700</v>
      </c>
      <c r="D5" s="4">
        <v>0</v>
      </c>
      <c r="E5" s="6" t="s">
        <v>563</v>
      </c>
      <c r="F5" s="7"/>
      <c r="H5" s="4"/>
      <c r="I5" s="1">
        <f t="shared" ref="I5:I10" si="0">H5-C5</f>
        <v>700</v>
      </c>
    </row>
    <row r="6" spans="2:9" x14ac:dyDescent="0.3">
      <c r="B6" s="20">
        <f t="shared" ref="B6:B10" si="1">B5+1</f>
        <v>46245</v>
      </c>
      <c r="C6" s="4">
        <v>-155</v>
      </c>
      <c r="D6" s="4">
        <v>0</v>
      </c>
      <c r="E6" s="6" t="s">
        <v>563</v>
      </c>
      <c r="F6" s="7"/>
      <c r="H6" s="4"/>
      <c r="I6" s="1">
        <f t="shared" si="0"/>
        <v>155</v>
      </c>
    </row>
    <row r="7" spans="2:9" x14ac:dyDescent="0.3">
      <c r="B7" s="20">
        <f t="shared" si="1"/>
        <v>46246</v>
      </c>
      <c r="C7" s="4">
        <v>-700</v>
      </c>
      <c r="D7" s="4">
        <v>0</v>
      </c>
      <c r="E7" s="6" t="s">
        <v>564</v>
      </c>
      <c r="F7" s="7"/>
      <c r="H7" s="4"/>
      <c r="I7" s="1">
        <f t="shared" si="0"/>
        <v>700</v>
      </c>
    </row>
    <row r="8" spans="2:9" x14ac:dyDescent="0.3">
      <c r="B8" s="20">
        <f t="shared" si="1"/>
        <v>46247</v>
      </c>
      <c r="C8" s="4">
        <v>0</v>
      </c>
      <c r="D8" s="4">
        <v>2255</v>
      </c>
      <c r="E8" s="6" t="s">
        <v>564</v>
      </c>
      <c r="F8" s="7"/>
      <c r="H8" s="4"/>
      <c r="I8" s="1">
        <f t="shared" si="0"/>
        <v>0</v>
      </c>
    </row>
    <row r="9" spans="2:9" x14ac:dyDescent="0.3">
      <c r="B9" s="20">
        <f t="shared" si="1"/>
        <v>46248</v>
      </c>
      <c r="C9" s="4">
        <v>0</v>
      </c>
      <c r="D9" s="4">
        <v>0</v>
      </c>
      <c r="E9" s="6"/>
      <c r="F9" s="7"/>
      <c r="H9" s="4"/>
      <c r="I9" s="1">
        <f t="shared" si="0"/>
        <v>0</v>
      </c>
    </row>
    <row r="10" spans="2:9" ht="15" thickBot="1" x14ac:dyDescent="0.35">
      <c r="B10" s="20">
        <f t="shared" si="1"/>
        <v>46249</v>
      </c>
      <c r="C10" s="4">
        <v>-700</v>
      </c>
      <c r="D10" s="4">
        <v>0</v>
      </c>
      <c r="E10" s="6" t="s">
        <v>564</v>
      </c>
      <c r="F10" s="7"/>
      <c r="H10" s="4"/>
      <c r="I10" s="1">
        <f t="shared" si="0"/>
        <v>700</v>
      </c>
    </row>
    <row r="11" spans="2:9" x14ac:dyDescent="0.3">
      <c r="B11" s="21" t="s">
        <v>11</v>
      </c>
      <c r="C11" s="2">
        <f>SUM(C4:C10)</f>
        <v>-2255</v>
      </c>
      <c r="D11" s="2">
        <f>SUM(D4:D10)</f>
        <v>2255</v>
      </c>
      <c r="E11" s="6"/>
      <c r="F11" s="7"/>
      <c r="H11" s="2">
        <f>SUM(H4:H10)</f>
        <v>0</v>
      </c>
      <c r="I11" s="2">
        <f>SUM(I4:I10)</f>
        <v>2255</v>
      </c>
    </row>
    <row r="12" spans="2:9" x14ac:dyDescent="0.3">
      <c r="B12" s="20">
        <f>B10+1</f>
        <v>46250</v>
      </c>
      <c r="C12" s="4">
        <v>0</v>
      </c>
      <c r="D12" s="4">
        <v>0</v>
      </c>
      <c r="E12" s="6"/>
      <c r="F12" s="7"/>
      <c r="H12" s="4"/>
      <c r="I12" s="1">
        <f>H12-C12</f>
        <v>0</v>
      </c>
    </row>
    <row r="13" spans="2:9" x14ac:dyDescent="0.3">
      <c r="B13" s="20">
        <f>B12+1</f>
        <v>46251</v>
      </c>
      <c r="C13" s="4">
        <v>-855</v>
      </c>
      <c r="D13" s="4">
        <v>0</v>
      </c>
      <c r="E13" s="6" t="s">
        <v>563</v>
      </c>
      <c r="F13" s="7"/>
      <c r="H13" s="4"/>
      <c r="I13" s="1">
        <f t="shared" ref="I13:I18" si="2">H13-C13</f>
        <v>855</v>
      </c>
    </row>
    <row r="14" spans="2:9" x14ac:dyDescent="0.3">
      <c r="B14" s="20">
        <f t="shared" ref="B14:B18" si="3">B13+1</f>
        <v>46252</v>
      </c>
      <c r="C14" s="4">
        <v>0</v>
      </c>
      <c r="D14" s="4">
        <v>0</v>
      </c>
      <c r="E14" s="6"/>
      <c r="F14" s="7"/>
      <c r="H14" s="4"/>
      <c r="I14" s="1">
        <f t="shared" si="2"/>
        <v>0</v>
      </c>
    </row>
    <row r="15" spans="2:9" x14ac:dyDescent="0.3">
      <c r="B15" s="20">
        <f t="shared" si="3"/>
        <v>46253</v>
      </c>
      <c r="C15" s="4">
        <v>0</v>
      </c>
      <c r="D15" s="4">
        <v>0</v>
      </c>
      <c r="E15" s="6"/>
      <c r="F15" s="7"/>
      <c r="H15" s="4"/>
      <c r="I15" s="1">
        <f t="shared" si="2"/>
        <v>0</v>
      </c>
    </row>
    <row r="16" spans="2:9" x14ac:dyDescent="0.3">
      <c r="B16" s="20">
        <f t="shared" si="3"/>
        <v>46254</v>
      </c>
      <c r="C16" s="4">
        <v>-700</v>
      </c>
      <c r="D16" s="4">
        <v>0</v>
      </c>
      <c r="E16" s="6" t="s">
        <v>564</v>
      </c>
      <c r="F16" s="7"/>
      <c r="H16" s="4"/>
      <c r="I16" s="1">
        <f t="shared" si="2"/>
        <v>700</v>
      </c>
    </row>
    <row r="17" spans="2:9" x14ac:dyDescent="0.3">
      <c r="B17" s="20">
        <f t="shared" si="3"/>
        <v>46255</v>
      </c>
      <c r="C17" s="4">
        <v>0</v>
      </c>
      <c r="D17" s="4">
        <v>0</v>
      </c>
      <c r="E17" s="6"/>
      <c r="F17" s="7"/>
      <c r="H17" s="4"/>
      <c r="I17" s="1">
        <f t="shared" si="2"/>
        <v>0</v>
      </c>
    </row>
    <row r="18" spans="2:9" ht="15" thickBot="1" x14ac:dyDescent="0.35">
      <c r="B18" s="20">
        <f t="shared" si="3"/>
        <v>46256</v>
      </c>
      <c r="C18" s="4">
        <v>0</v>
      </c>
      <c r="D18" s="4">
        <v>0</v>
      </c>
      <c r="E18" s="6"/>
      <c r="F18" s="7"/>
      <c r="H18" s="4"/>
      <c r="I18" s="1">
        <f t="shared" si="2"/>
        <v>0</v>
      </c>
    </row>
    <row r="19" spans="2:9" x14ac:dyDescent="0.3">
      <c r="B19" s="21" t="s">
        <v>11</v>
      </c>
      <c r="C19" s="2">
        <f>SUM(C12:C18)</f>
        <v>-1555</v>
      </c>
      <c r="D19" s="2">
        <f>SUM(D12:D18)</f>
        <v>0</v>
      </c>
      <c r="E19" s="6"/>
      <c r="F19" s="7"/>
      <c r="H19" s="2">
        <f>SUM(H12:H18)</f>
        <v>0</v>
      </c>
      <c r="I19" s="2">
        <f>SUM(I12:I18)</f>
        <v>1555</v>
      </c>
    </row>
    <row r="20" spans="2:9" x14ac:dyDescent="0.3">
      <c r="B20" s="20">
        <f>B18+1</f>
        <v>46257</v>
      </c>
      <c r="C20" s="4">
        <v>-700</v>
      </c>
      <c r="D20" s="4">
        <v>0</v>
      </c>
      <c r="E20" s="6" t="s">
        <v>563</v>
      </c>
      <c r="F20" s="7"/>
      <c r="H20" s="4"/>
      <c r="I20" s="1">
        <f>H20-C20</f>
        <v>700</v>
      </c>
    </row>
    <row r="21" spans="2:9" x14ac:dyDescent="0.3">
      <c r="B21" s="20">
        <f>B20+1</f>
        <v>46258</v>
      </c>
      <c r="C21" s="4">
        <v>-100</v>
      </c>
      <c r="D21" s="4">
        <v>1500</v>
      </c>
      <c r="E21" s="6" t="s">
        <v>563</v>
      </c>
      <c r="F21" s="7" t="s">
        <v>565</v>
      </c>
      <c r="H21" s="4"/>
      <c r="I21" s="1">
        <f t="shared" ref="I21:I26" si="4">H21-C21</f>
        <v>100</v>
      </c>
    </row>
    <row r="22" spans="2:9" x14ac:dyDescent="0.3">
      <c r="B22" s="20">
        <f t="shared" ref="B22:B26" si="5">B21+1</f>
        <v>46259</v>
      </c>
      <c r="C22" s="4">
        <v>0</v>
      </c>
      <c r="D22" s="4">
        <v>0</v>
      </c>
      <c r="E22" s="6"/>
      <c r="F22" s="7"/>
      <c r="H22" s="4"/>
      <c r="I22" s="1">
        <f t="shared" si="4"/>
        <v>0</v>
      </c>
    </row>
    <row r="23" spans="2:9" x14ac:dyDescent="0.3">
      <c r="B23" s="20">
        <f t="shared" si="5"/>
        <v>46260</v>
      </c>
      <c r="C23" s="4">
        <v>-700</v>
      </c>
      <c r="D23" s="4">
        <v>0</v>
      </c>
      <c r="E23" s="6" t="s">
        <v>564</v>
      </c>
      <c r="F23" s="7"/>
      <c r="H23" s="4"/>
      <c r="I23" s="1">
        <f t="shared" si="4"/>
        <v>700</v>
      </c>
    </row>
    <row r="24" spans="2:9" x14ac:dyDescent="0.3">
      <c r="B24" s="20">
        <f t="shared" si="5"/>
        <v>46261</v>
      </c>
      <c r="C24" s="4">
        <v>0</v>
      </c>
      <c r="D24" s="4">
        <v>0</v>
      </c>
      <c r="E24" s="6"/>
      <c r="F24" s="7"/>
      <c r="H24" s="4"/>
      <c r="I24" s="1">
        <f t="shared" si="4"/>
        <v>0</v>
      </c>
    </row>
    <row r="25" spans="2:9" x14ac:dyDescent="0.3">
      <c r="B25" s="20">
        <f t="shared" si="5"/>
        <v>46262</v>
      </c>
      <c r="C25" s="4">
        <v>175</v>
      </c>
      <c r="D25" s="4">
        <v>1575</v>
      </c>
      <c r="E25" s="6" t="s">
        <v>564</v>
      </c>
      <c r="F25" s="7"/>
      <c r="H25" s="4"/>
      <c r="I25" s="1">
        <f t="shared" si="4"/>
        <v>-175</v>
      </c>
    </row>
    <row r="26" spans="2:9" ht="15" thickBot="1" x14ac:dyDescent="0.35">
      <c r="B26" s="20">
        <f t="shared" si="5"/>
        <v>46263</v>
      </c>
      <c r="C26" s="4">
        <v>700</v>
      </c>
      <c r="D26" s="4">
        <v>0</v>
      </c>
      <c r="E26" s="6"/>
      <c r="F26" s="7"/>
      <c r="H26" s="4"/>
      <c r="I26" s="1">
        <f t="shared" si="4"/>
        <v>-700</v>
      </c>
    </row>
    <row r="27" spans="2:9" x14ac:dyDescent="0.3">
      <c r="B27" s="21" t="s">
        <v>11</v>
      </c>
      <c r="C27" s="2">
        <f>SUM(C20:C26)</f>
        <v>-625</v>
      </c>
      <c r="D27" s="2">
        <f>SUM(D20:D26)</f>
        <v>3075</v>
      </c>
      <c r="E27" s="6"/>
      <c r="F27" s="7"/>
      <c r="H27" s="2">
        <f>SUM(H20:H26)</f>
        <v>0</v>
      </c>
      <c r="I27" s="2">
        <f>SUM(I20:I26)</f>
        <v>625</v>
      </c>
    </row>
    <row r="28" spans="2:9" x14ac:dyDescent="0.3">
      <c r="B28" s="20">
        <f>B26+1</f>
        <v>46264</v>
      </c>
      <c r="C28" s="4">
        <v>0</v>
      </c>
      <c r="D28" s="4">
        <v>0</v>
      </c>
      <c r="E28" s="6"/>
      <c r="F28" s="7"/>
      <c r="H28" s="4"/>
      <c r="I28" s="1">
        <f>H28-C28</f>
        <v>0</v>
      </c>
    </row>
    <row r="29" spans="2:9" x14ac:dyDescent="0.3">
      <c r="B29" s="20">
        <f>B28+1</f>
        <v>46265</v>
      </c>
      <c r="C29" s="4">
        <v>0</v>
      </c>
      <c r="D29" s="4">
        <v>0</v>
      </c>
      <c r="E29" s="6"/>
      <c r="F29" s="7"/>
      <c r="H29" s="4"/>
      <c r="I29" s="1">
        <f t="shared" ref="I29:I34" si="6">H29-C29</f>
        <v>0</v>
      </c>
    </row>
    <row r="30" spans="2:9" x14ac:dyDescent="0.3">
      <c r="B30" s="20">
        <f t="shared" ref="B30:B34" si="7">B29+1</f>
        <v>46266</v>
      </c>
      <c r="C30" s="4">
        <v>0</v>
      </c>
      <c r="D30" s="4">
        <v>0</v>
      </c>
      <c r="E30" s="6"/>
      <c r="F30" s="7"/>
      <c r="H30" s="4"/>
      <c r="I30" s="1">
        <f t="shared" si="6"/>
        <v>0</v>
      </c>
    </row>
    <row r="31" spans="2:9" x14ac:dyDescent="0.3">
      <c r="B31" s="20">
        <f t="shared" si="7"/>
        <v>46267</v>
      </c>
      <c r="C31" s="4">
        <v>0</v>
      </c>
      <c r="D31" s="4">
        <v>0</v>
      </c>
      <c r="E31" s="6"/>
      <c r="F31" s="7"/>
      <c r="H31" s="4"/>
      <c r="I31" s="1">
        <f t="shared" si="6"/>
        <v>0</v>
      </c>
    </row>
    <row r="32" spans="2:9" x14ac:dyDescent="0.3">
      <c r="B32" s="20">
        <f t="shared" si="7"/>
        <v>46268</v>
      </c>
      <c r="C32" s="4">
        <v>805</v>
      </c>
      <c r="D32" s="4">
        <v>2310</v>
      </c>
      <c r="E32" s="6" t="s">
        <v>564</v>
      </c>
      <c r="F32" s="7" t="s">
        <v>566</v>
      </c>
      <c r="H32" s="4"/>
      <c r="I32" s="1">
        <f t="shared" si="6"/>
        <v>-805</v>
      </c>
    </row>
    <row r="33" spans="1:9" x14ac:dyDescent="0.3">
      <c r="B33" s="20">
        <f t="shared" si="7"/>
        <v>46269</v>
      </c>
      <c r="C33" s="4">
        <v>0</v>
      </c>
      <c r="D33" s="4">
        <v>0</v>
      </c>
      <c r="E33" s="6"/>
      <c r="F33" s="7"/>
      <c r="H33" s="4"/>
      <c r="I33" s="1">
        <f t="shared" si="6"/>
        <v>0</v>
      </c>
    </row>
    <row r="34" spans="1:9" ht="15" thickBot="1" x14ac:dyDescent="0.35">
      <c r="B34" s="20">
        <f t="shared" si="7"/>
        <v>46270</v>
      </c>
      <c r="C34" s="4">
        <v>0</v>
      </c>
      <c r="D34" s="4">
        <v>0</v>
      </c>
      <c r="E34" s="6"/>
      <c r="F34" s="7"/>
      <c r="H34" s="4">
        <v>-19.09</v>
      </c>
      <c r="I34" s="1">
        <f t="shared" si="6"/>
        <v>-19.09</v>
      </c>
    </row>
    <row r="35" spans="1:9" x14ac:dyDescent="0.3">
      <c r="B35" s="19" t="s">
        <v>11</v>
      </c>
      <c r="C35" s="2">
        <f>SUM(C28:C34)</f>
        <v>805</v>
      </c>
      <c r="D35" s="2">
        <f>SUM(D28:D34)</f>
        <v>2310</v>
      </c>
      <c r="E35" s="6"/>
      <c r="F35" s="7"/>
      <c r="H35" s="2">
        <f t="shared" ref="H35:I35" si="8">SUM(H28:H34)</f>
        <v>-19.09</v>
      </c>
      <c r="I35" s="2">
        <f t="shared" si="8"/>
        <v>-824.09</v>
      </c>
    </row>
    <row r="36" spans="1:9" x14ac:dyDescent="0.3">
      <c r="B36" s="19" t="s">
        <v>12</v>
      </c>
      <c r="C36" s="3">
        <f>SUM(C35+C27+C19+C11)</f>
        <v>-3630</v>
      </c>
      <c r="D36" s="3">
        <f>SUM(D35+D27+D19+D11)</f>
        <v>7640</v>
      </c>
      <c r="E36" s="6"/>
      <c r="F36" s="7"/>
      <c r="H36" s="3">
        <f t="shared" ref="H36:I36" si="9">SUM(H35+H27+H19+H11)</f>
        <v>-19.09</v>
      </c>
      <c r="I36" s="3">
        <f t="shared" si="9"/>
        <v>3610.91</v>
      </c>
    </row>
    <row r="37" spans="1:9" ht="15" thickBot="1" x14ac:dyDescent="0.35">
      <c r="B37" s="19" t="s">
        <v>13</v>
      </c>
      <c r="C37" s="1">
        <f>D36+C36</f>
        <v>4010</v>
      </c>
      <c r="E37" s="24"/>
      <c r="F37" s="25"/>
      <c r="H37" s="1">
        <f t="shared" ref="H37:I37" si="10">I36+H36</f>
        <v>3591.8199999999997</v>
      </c>
      <c r="I37" s="1">
        <f t="shared" si="10"/>
        <v>3610.91</v>
      </c>
    </row>
    <row r="38" spans="1:9" ht="15" thickTop="1" x14ac:dyDescent="0.3">
      <c r="B38" s="26"/>
      <c r="C38" s="36">
        <f>B34+1</f>
        <v>46271</v>
      </c>
      <c r="D38" s="37" t="s">
        <v>14</v>
      </c>
      <c r="E38" s="27"/>
      <c r="F38" s="28"/>
    </row>
    <row r="39" spans="1:9" x14ac:dyDescent="0.3">
      <c r="B39" s="29" t="s">
        <v>15</v>
      </c>
      <c r="C39" s="38">
        <v>2800</v>
      </c>
      <c r="E39" s="6" t="s">
        <v>564</v>
      </c>
      <c r="F39" s="30"/>
    </row>
    <row r="40" spans="1:9" x14ac:dyDescent="0.3">
      <c r="B40" s="31"/>
      <c r="F40" s="32"/>
    </row>
    <row r="41" spans="1:9" x14ac:dyDescent="0.3">
      <c r="B41" s="29" t="s">
        <v>16</v>
      </c>
      <c r="C41" s="40">
        <v>2</v>
      </c>
      <c r="F41" s="32"/>
    </row>
    <row r="42" spans="1:9" x14ac:dyDescent="0.3">
      <c r="B42" s="29"/>
      <c r="F42" s="32"/>
    </row>
    <row r="43" spans="1:9" x14ac:dyDescent="0.3">
      <c r="B43" s="29" t="s">
        <v>17</v>
      </c>
      <c r="C43" s="38">
        <v>200</v>
      </c>
      <c r="F43" s="32"/>
    </row>
    <row r="44" spans="1:9" x14ac:dyDescent="0.3">
      <c r="B44" s="29"/>
      <c r="F44" s="32"/>
    </row>
    <row r="45" spans="1:9" ht="15" thickBot="1" x14ac:dyDescent="0.35">
      <c r="B45" s="33" t="s">
        <v>18</v>
      </c>
      <c r="C45" s="39">
        <v>300</v>
      </c>
      <c r="D45" s="34"/>
      <c r="E45" s="34"/>
      <c r="F45" s="35"/>
    </row>
    <row r="47" spans="1:9" x14ac:dyDescent="0.3">
      <c r="A47" s="41"/>
      <c r="B47" s="42" t="s">
        <v>19</v>
      </c>
      <c r="C47" s="41"/>
      <c r="D47" s="41"/>
      <c r="E47" s="41"/>
      <c r="F47" s="41"/>
      <c r="G47" s="41"/>
      <c r="H47" s="41"/>
      <c r="I47" s="41"/>
    </row>
    <row r="48" spans="1:9" x14ac:dyDescent="0.3">
      <c r="A48" s="41"/>
      <c r="B48" s="41" t="s">
        <v>20</v>
      </c>
      <c r="C48" s="4">
        <v>700</v>
      </c>
      <c r="D48" s="4">
        <v>0</v>
      </c>
      <c r="E48" s="6" t="s">
        <v>563</v>
      </c>
      <c r="F48" s="7" t="s">
        <v>567</v>
      </c>
      <c r="H48" s="4">
        <v>622.63</v>
      </c>
      <c r="I48" s="1">
        <f>H48-C48</f>
        <v>-77.37</v>
      </c>
    </row>
    <row r="49" spans="1:9" x14ac:dyDescent="0.3">
      <c r="A49" s="41"/>
      <c r="B49" s="41" t="s">
        <v>22</v>
      </c>
      <c r="C49" s="4">
        <v>0</v>
      </c>
      <c r="D49" s="4">
        <v>0</v>
      </c>
      <c r="E49" s="6" t="s">
        <v>568</v>
      </c>
      <c r="F49" s="7"/>
      <c r="H49" s="4">
        <v>0.52</v>
      </c>
      <c r="I49" s="1">
        <f t="shared" ref="I49:I54" si="11">H49-C49</f>
        <v>0.52</v>
      </c>
    </row>
    <row r="50" spans="1:9" x14ac:dyDescent="0.3">
      <c r="A50" s="41"/>
      <c r="B50" s="41" t="s">
        <v>23</v>
      </c>
      <c r="C50" s="4">
        <v>0</v>
      </c>
      <c r="D50" s="4">
        <v>0</v>
      </c>
      <c r="E50" s="6" t="s">
        <v>568</v>
      </c>
      <c r="F50" s="7"/>
      <c r="H50" s="4">
        <v>0.48</v>
      </c>
      <c r="I50" s="1">
        <f t="shared" si="11"/>
        <v>0.48</v>
      </c>
    </row>
    <row r="51" spans="1:9" x14ac:dyDescent="0.3">
      <c r="A51" s="41"/>
      <c r="B51" s="41" t="s">
        <v>24</v>
      </c>
      <c r="C51" s="4">
        <v>0</v>
      </c>
      <c r="D51" s="4">
        <v>0</v>
      </c>
      <c r="E51" s="6" t="s">
        <v>564</v>
      </c>
      <c r="F51" s="7"/>
      <c r="H51" s="4">
        <v>44.34</v>
      </c>
      <c r="I51" s="1">
        <f t="shared" si="11"/>
        <v>44.34</v>
      </c>
    </row>
    <row r="52" spans="1:9" x14ac:dyDescent="0.3">
      <c r="A52" s="41"/>
      <c r="B52" s="41" t="s">
        <v>25</v>
      </c>
      <c r="C52" s="4">
        <v>175</v>
      </c>
      <c r="D52" s="4">
        <v>2275</v>
      </c>
      <c r="E52" s="6" t="s">
        <v>564</v>
      </c>
      <c r="F52" s="7" t="s">
        <v>569</v>
      </c>
      <c r="H52" s="4">
        <v>170.63</v>
      </c>
      <c r="I52" s="1">
        <f t="shared" si="11"/>
        <v>-4.3700000000000045</v>
      </c>
    </row>
    <row r="53" spans="1:9" x14ac:dyDescent="0.3">
      <c r="A53" s="41"/>
      <c r="B53" s="41" t="s">
        <v>26</v>
      </c>
      <c r="C53" s="4">
        <v>0</v>
      </c>
      <c r="D53" s="4">
        <v>0</v>
      </c>
      <c r="E53" s="6" t="s">
        <v>564</v>
      </c>
      <c r="F53" s="7"/>
      <c r="H53" s="4">
        <v>-65.22</v>
      </c>
      <c r="I53" s="1">
        <f t="shared" si="11"/>
        <v>-65.22</v>
      </c>
    </row>
    <row r="54" spans="1:9" ht="15" thickBot="1" x14ac:dyDescent="0.35">
      <c r="A54" s="41"/>
      <c r="B54" s="41" t="s">
        <v>27</v>
      </c>
      <c r="C54" s="4">
        <v>700</v>
      </c>
      <c r="D54" s="4">
        <v>0</v>
      </c>
      <c r="E54" s="4" t="s">
        <v>564</v>
      </c>
      <c r="F54" s="4"/>
      <c r="H54" s="4">
        <v>713.28</v>
      </c>
      <c r="I54" s="1">
        <f t="shared" si="11"/>
        <v>13.279999999999973</v>
      </c>
    </row>
    <row r="55" spans="1:9" x14ac:dyDescent="0.3">
      <c r="A55" s="41"/>
      <c r="B55" s="41" t="s">
        <v>29</v>
      </c>
      <c r="C55" s="2">
        <f>SUM(C48:C54)</f>
        <v>1575</v>
      </c>
      <c r="D55" s="2">
        <f>SUM(D48:D54)</f>
        <v>2275</v>
      </c>
      <c r="E55" s="6"/>
      <c r="F55" s="7"/>
      <c r="H55" s="2">
        <f>SUM(H48:H54)</f>
        <v>1486.6599999999999</v>
      </c>
      <c r="I55" s="2">
        <f>SUM(I48:I54)</f>
        <v>-88.340000000000032</v>
      </c>
    </row>
    <row r="56" spans="1:9" x14ac:dyDescent="0.3">
      <c r="A56" s="41"/>
      <c r="B56" s="41" t="s">
        <v>30</v>
      </c>
      <c r="C56" s="4">
        <v>0</v>
      </c>
      <c r="D56" s="4">
        <v>0</v>
      </c>
      <c r="E56" s="6" t="s">
        <v>568</v>
      </c>
      <c r="F56" s="7"/>
      <c r="H56" s="4">
        <v>20.190000000000001</v>
      </c>
      <c r="I56" s="1">
        <f>H56-C56</f>
        <v>20.190000000000001</v>
      </c>
    </row>
    <row r="57" spans="1:9" x14ac:dyDescent="0.3">
      <c r="A57" s="41"/>
      <c r="B57" s="41" t="s">
        <v>31</v>
      </c>
      <c r="C57" s="4">
        <v>0</v>
      </c>
      <c r="D57" s="4">
        <v>0</v>
      </c>
      <c r="E57" s="6" t="s">
        <v>568</v>
      </c>
      <c r="F57" s="7"/>
      <c r="H57" s="4">
        <v>-62.29</v>
      </c>
      <c r="I57" s="1">
        <f t="shared" ref="I57:I62" si="12">H57-C57</f>
        <v>-62.29</v>
      </c>
    </row>
    <row r="58" spans="1:9" x14ac:dyDescent="0.3">
      <c r="A58" s="41"/>
      <c r="B58" s="41" t="s">
        <v>32</v>
      </c>
      <c r="C58" s="4">
        <v>700</v>
      </c>
      <c r="D58" s="4">
        <v>0</v>
      </c>
      <c r="E58" s="6" t="s">
        <v>564</v>
      </c>
      <c r="F58" s="7" t="s">
        <v>570</v>
      </c>
      <c r="H58" s="4">
        <v>703</v>
      </c>
      <c r="I58" s="1">
        <f t="shared" si="12"/>
        <v>3</v>
      </c>
    </row>
    <row r="59" spans="1:9" x14ac:dyDescent="0.3">
      <c r="A59" s="41"/>
      <c r="B59" s="41" t="s">
        <v>34</v>
      </c>
      <c r="C59" s="4">
        <v>0</v>
      </c>
      <c r="D59" s="4">
        <v>0</v>
      </c>
      <c r="E59" s="6" t="s">
        <v>564</v>
      </c>
      <c r="F59" s="7" t="s">
        <v>571</v>
      </c>
      <c r="H59" s="4">
        <v>-46.44</v>
      </c>
      <c r="I59" s="1">
        <f t="shared" si="12"/>
        <v>-46.44</v>
      </c>
    </row>
    <row r="60" spans="1:9" x14ac:dyDescent="0.3">
      <c r="A60" s="41"/>
      <c r="B60" s="41" t="s">
        <v>35</v>
      </c>
      <c r="C60" s="4">
        <v>150</v>
      </c>
      <c r="D60" s="4">
        <v>1550</v>
      </c>
      <c r="E60" s="6" t="s">
        <v>564</v>
      </c>
      <c r="F60" s="7" t="s">
        <v>572</v>
      </c>
      <c r="H60" s="4">
        <v>183.59</v>
      </c>
      <c r="I60" s="1">
        <f t="shared" si="12"/>
        <v>33.590000000000003</v>
      </c>
    </row>
    <row r="61" spans="1:9" x14ac:dyDescent="0.3">
      <c r="A61" s="41"/>
      <c r="B61" s="41" t="s">
        <v>36</v>
      </c>
      <c r="C61" s="4">
        <v>700</v>
      </c>
      <c r="D61" s="4">
        <v>0</v>
      </c>
      <c r="E61" s="6" t="s">
        <v>564</v>
      </c>
      <c r="F61" s="7" t="s">
        <v>573</v>
      </c>
      <c r="H61" s="4">
        <v>716.35</v>
      </c>
      <c r="I61" s="1">
        <f t="shared" si="12"/>
        <v>16.350000000000023</v>
      </c>
    </row>
    <row r="62" spans="1:9" x14ac:dyDescent="0.3">
      <c r="A62" s="41"/>
      <c r="B62" s="41" t="s">
        <v>37</v>
      </c>
      <c r="C62" s="4">
        <v>0</v>
      </c>
      <c r="D62" s="4">
        <v>0</v>
      </c>
      <c r="E62" s="6" t="s">
        <v>564</v>
      </c>
      <c r="F62" s="7"/>
      <c r="H62" s="4">
        <v>-20.77</v>
      </c>
      <c r="I62" s="1">
        <f t="shared" si="12"/>
        <v>-20.77</v>
      </c>
    </row>
    <row r="63" spans="1:9" x14ac:dyDescent="0.3">
      <c r="A63" s="41"/>
      <c r="B63" s="41" t="s">
        <v>29</v>
      </c>
      <c r="C63" s="2">
        <f>SUM(C56:C62)</f>
        <v>1550</v>
      </c>
      <c r="D63" s="2">
        <f>SUM(D56:D62)</f>
        <v>1550</v>
      </c>
      <c r="E63" s="6"/>
      <c r="F63" s="7"/>
      <c r="H63" s="2">
        <f>SUM(H56:H62)</f>
        <v>1493.63</v>
      </c>
      <c r="I63" s="2">
        <f>SUM(I56:I62)</f>
        <v>-56.369999999999962</v>
      </c>
    </row>
    <row r="64" spans="1:9" x14ac:dyDescent="0.3">
      <c r="A64" s="41"/>
      <c r="B64" s="41" t="s">
        <v>38</v>
      </c>
      <c r="C64" s="4">
        <v>0</v>
      </c>
      <c r="D64" s="4">
        <v>0</v>
      </c>
      <c r="E64" s="6" t="s">
        <v>564</v>
      </c>
      <c r="F64" s="7"/>
      <c r="H64" s="4">
        <v>-44</v>
      </c>
      <c r="I64" s="1">
        <f>H64-C64</f>
        <v>-44</v>
      </c>
    </row>
    <row r="65" spans="1:9" x14ac:dyDescent="0.3">
      <c r="A65" s="41"/>
      <c r="B65" s="41" t="s">
        <v>39</v>
      </c>
      <c r="C65" s="4">
        <v>0</v>
      </c>
      <c r="D65" s="4">
        <v>0</v>
      </c>
      <c r="E65" s="6" t="s">
        <v>564</v>
      </c>
      <c r="F65" s="7" t="s">
        <v>574</v>
      </c>
      <c r="H65" s="4">
        <v>-385</v>
      </c>
      <c r="I65" s="1">
        <f t="shared" ref="I65:I70" si="13">H65-C65</f>
        <v>-385</v>
      </c>
    </row>
    <row r="66" spans="1:9" x14ac:dyDescent="0.3">
      <c r="A66" s="41"/>
      <c r="B66" s="41" t="s">
        <v>40</v>
      </c>
      <c r="C66" s="4">
        <v>0</v>
      </c>
      <c r="D66" s="4">
        <v>0</v>
      </c>
      <c r="E66" s="6" t="s">
        <v>564</v>
      </c>
      <c r="F66" s="7" t="s">
        <v>575</v>
      </c>
      <c r="H66" s="4">
        <v>294.82</v>
      </c>
      <c r="I66" s="1">
        <f t="shared" si="13"/>
        <v>294.82</v>
      </c>
    </row>
    <row r="67" spans="1:9" x14ac:dyDescent="0.3">
      <c r="A67" s="41"/>
      <c r="B67" s="41" t="s">
        <v>41</v>
      </c>
      <c r="C67" s="4">
        <v>700</v>
      </c>
      <c r="D67" s="4">
        <v>0</v>
      </c>
      <c r="E67" s="6" t="s">
        <v>564</v>
      </c>
      <c r="F67" s="7" t="s">
        <v>573</v>
      </c>
      <c r="H67" s="4">
        <v>718.02</v>
      </c>
      <c r="I67" s="1">
        <f t="shared" si="13"/>
        <v>18.019999999999982</v>
      </c>
    </row>
    <row r="68" spans="1:9" x14ac:dyDescent="0.3">
      <c r="A68" s="41"/>
      <c r="B68" s="41" t="s">
        <v>42</v>
      </c>
      <c r="C68" s="4">
        <v>150</v>
      </c>
      <c r="D68" s="4">
        <v>150</v>
      </c>
      <c r="E68" s="6" t="s">
        <v>564</v>
      </c>
      <c r="F68" s="7" t="s">
        <v>576</v>
      </c>
      <c r="H68" s="4">
        <v>153.61000000000001</v>
      </c>
      <c r="I68" s="1">
        <f t="shared" si="13"/>
        <v>3.6100000000000136</v>
      </c>
    </row>
    <row r="69" spans="1:9" x14ac:dyDescent="0.3">
      <c r="A69" s="41"/>
      <c r="B69" s="41" t="s">
        <v>44</v>
      </c>
      <c r="C69" s="4">
        <v>0</v>
      </c>
      <c r="D69" s="4">
        <v>0</v>
      </c>
      <c r="E69" s="6" t="s">
        <v>564</v>
      </c>
      <c r="F69" s="7" t="s">
        <v>577</v>
      </c>
      <c r="H69" s="4">
        <v>-62.57</v>
      </c>
      <c r="I69" s="1">
        <f t="shared" si="13"/>
        <v>-62.57</v>
      </c>
    </row>
    <row r="70" spans="1:9" x14ac:dyDescent="0.3">
      <c r="A70" s="41"/>
      <c r="B70" s="41" t="s">
        <v>45</v>
      </c>
      <c r="C70" s="4">
        <v>0</v>
      </c>
      <c r="D70" s="4">
        <v>0</v>
      </c>
      <c r="E70" s="6" t="s">
        <v>564</v>
      </c>
      <c r="F70" s="7" t="s">
        <v>577</v>
      </c>
      <c r="H70" s="4">
        <v>-60.17</v>
      </c>
      <c r="I70" s="1">
        <f t="shared" si="13"/>
        <v>-60.17</v>
      </c>
    </row>
    <row r="71" spans="1:9" x14ac:dyDescent="0.3">
      <c r="A71" s="41"/>
      <c r="B71" s="41" t="s">
        <v>29</v>
      </c>
      <c r="C71" s="2">
        <f>SUM(C64:C70)</f>
        <v>850</v>
      </c>
      <c r="D71" s="2">
        <f>SUM(D64:D70)</f>
        <v>150</v>
      </c>
      <c r="E71" s="6"/>
      <c r="F71" s="7"/>
      <c r="H71" s="2">
        <f>SUM(H64:H70)</f>
        <v>614.70999999999992</v>
      </c>
      <c r="I71" s="2">
        <f>SUM(I64:I70)</f>
        <v>-235.29000000000002</v>
      </c>
    </row>
    <row r="72" spans="1:9" x14ac:dyDescent="0.3">
      <c r="A72" s="41"/>
      <c r="B72" s="41" t="s">
        <v>46</v>
      </c>
      <c r="C72" s="4">
        <v>0</v>
      </c>
      <c r="D72" s="4">
        <v>0</v>
      </c>
      <c r="E72" s="6" t="s">
        <v>564</v>
      </c>
      <c r="F72" s="7" t="s">
        <v>578</v>
      </c>
      <c r="H72" s="4">
        <v>-69.14</v>
      </c>
      <c r="I72" s="1">
        <f>H72-C72</f>
        <v>-69.14</v>
      </c>
    </row>
    <row r="73" spans="1:9" x14ac:dyDescent="0.3">
      <c r="A73" s="41"/>
      <c r="B73" s="41" t="s">
        <v>47</v>
      </c>
      <c r="C73" s="4"/>
      <c r="D73" s="4"/>
      <c r="E73" s="6" t="s">
        <v>564</v>
      </c>
      <c r="F73" s="7" t="s">
        <v>579</v>
      </c>
      <c r="H73" s="4">
        <v>-32.99</v>
      </c>
      <c r="I73" s="1">
        <f t="shared" ref="I73:I78" si="14">H73-C73</f>
        <v>-32.99</v>
      </c>
    </row>
    <row r="74" spans="1:9" x14ac:dyDescent="0.3">
      <c r="A74" s="41"/>
      <c r="B74" s="41" t="s">
        <v>48</v>
      </c>
      <c r="C74" s="4">
        <v>0</v>
      </c>
      <c r="D74" s="4">
        <v>0</v>
      </c>
      <c r="E74" s="6" t="s">
        <v>564</v>
      </c>
      <c r="F74" s="7"/>
      <c r="H74" s="4">
        <v>19.39</v>
      </c>
      <c r="I74" s="1">
        <f t="shared" si="14"/>
        <v>19.39</v>
      </c>
    </row>
    <row r="75" spans="1:9" x14ac:dyDescent="0.3">
      <c r="A75" s="41"/>
      <c r="B75" s="41" t="s">
        <v>50</v>
      </c>
      <c r="C75" s="4">
        <v>0</v>
      </c>
      <c r="D75" s="4">
        <v>0</v>
      </c>
      <c r="E75" s="6" t="s">
        <v>564</v>
      </c>
      <c r="F75" s="7" t="s">
        <v>580</v>
      </c>
      <c r="H75" s="4">
        <v>76.75</v>
      </c>
      <c r="I75" s="1">
        <f t="shared" si="14"/>
        <v>76.75</v>
      </c>
    </row>
    <row r="76" spans="1:9" x14ac:dyDescent="0.3">
      <c r="A76" s="41"/>
      <c r="B76" s="41" t="s">
        <v>51</v>
      </c>
      <c r="C76" s="4">
        <v>150</v>
      </c>
      <c r="D76" s="4">
        <v>850</v>
      </c>
      <c r="E76" s="6" t="s">
        <v>564</v>
      </c>
      <c r="F76" s="7" t="s">
        <v>581</v>
      </c>
      <c r="H76" s="4">
        <v>159.69999999999999</v>
      </c>
      <c r="I76" s="1">
        <f t="shared" si="14"/>
        <v>9.6999999999999886</v>
      </c>
    </row>
    <row r="77" spans="1:9" x14ac:dyDescent="0.3">
      <c r="A77" s="41"/>
      <c r="B77" s="41" t="s">
        <v>52</v>
      </c>
      <c r="C77" s="4">
        <v>700</v>
      </c>
      <c r="D77" s="4">
        <v>0</v>
      </c>
      <c r="E77" s="6" t="s">
        <v>564</v>
      </c>
      <c r="F77" s="7" t="s">
        <v>573</v>
      </c>
      <c r="H77" s="4">
        <v>524.79999999999995</v>
      </c>
      <c r="I77" s="1">
        <f t="shared" si="14"/>
        <v>-175.20000000000005</v>
      </c>
    </row>
    <row r="78" spans="1:9" x14ac:dyDescent="0.3">
      <c r="A78" s="41"/>
      <c r="B78" s="41" t="s">
        <v>54</v>
      </c>
      <c r="C78" s="4"/>
      <c r="D78" s="4">
        <v>0</v>
      </c>
      <c r="E78" s="6" t="s">
        <v>564</v>
      </c>
      <c r="F78" s="7"/>
      <c r="H78" s="4">
        <v>27.86</v>
      </c>
      <c r="I78" s="1">
        <f t="shared" si="14"/>
        <v>27.86</v>
      </c>
    </row>
    <row r="79" spans="1:9" x14ac:dyDescent="0.3">
      <c r="A79" s="41"/>
      <c r="B79" s="41" t="s">
        <v>11</v>
      </c>
      <c r="C79" s="2">
        <f>SUM(C72:C78)</f>
        <v>850</v>
      </c>
      <c r="D79" s="2">
        <f>SUM(D72:D78)</f>
        <v>850</v>
      </c>
      <c r="E79" s="6"/>
      <c r="F79" s="7"/>
      <c r="H79" s="2">
        <f t="shared" ref="H79:I79" si="15">SUM(H72:H78)</f>
        <v>706.37</v>
      </c>
      <c r="I79" s="2">
        <f t="shared" si="15"/>
        <v>-143.63000000000005</v>
      </c>
    </row>
    <row r="80" spans="1:9" x14ac:dyDescent="0.3">
      <c r="A80" s="41"/>
      <c r="B80" s="41" t="s">
        <v>12</v>
      </c>
      <c r="C80" s="3">
        <f>SUM(C79+C71+C63+C55)</f>
        <v>4825</v>
      </c>
      <c r="D80" s="3">
        <f>SUM(D79+D71+D63+D55)</f>
        <v>4825</v>
      </c>
      <c r="E80" s="6"/>
      <c r="F80" s="7"/>
      <c r="H80" s="3">
        <f t="shared" ref="H80:I80" si="16">SUM(H79+H71+H63+H55)</f>
        <v>4301.37</v>
      </c>
      <c r="I80" s="3">
        <f t="shared" si="16"/>
        <v>-523.63000000000011</v>
      </c>
    </row>
    <row r="81" spans="1:9" x14ac:dyDescent="0.3">
      <c r="A81" s="41"/>
      <c r="B81" s="41" t="s">
        <v>13</v>
      </c>
      <c r="C81" s="1">
        <f>D80+C80</f>
        <v>9650</v>
      </c>
      <c r="E81" s="24"/>
      <c r="F81" s="25"/>
      <c r="H81" s="1">
        <f t="shared" ref="H81:I81" si="17">I80+H80</f>
        <v>3777.74</v>
      </c>
      <c r="I81" s="1">
        <f t="shared" si="17"/>
        <v>-523.63000000000011</v>
      </c>
    </row>
    <row r="82" spans="1:9" x14ac:dyDescent="0.3">
      <c r="A82" s="41"/>
      <c r="B82" s="44" t="s">
        <v>55</v>
      </c>
      <c r="C82" s="45" t="s">
        <v>56</v>
      </c>
      <c r="D82" s="45" t="s">
        <v>14</v>
      </c>
      <c r="E82" s="46"/>
      <c r="F82" s="47" t="s">
        <v>55</v>
      </c>
      <c r="G82" s="41"/>
      <c r="H82" s="41"/>
      <c r="I82" s="41"/>
    </row>
    <row r="83" spans="1:9" x14ac:dyDescent="0.3">
      <c r="A83" s="41"/>
      <c r="B83" s="48" t="s">
        <v>57</v>
      </c>
      <c r="C83" s="81">
        <v>2100</v>
      </c>
      <c r="D83" s="41"/>
      <c r="E83" s="43" t="s">
        <v>582</v>
      </c>
      <c r="F83" s="50" t="s">
        <v>583</v>
      </c>
      <c r="G83" s="41"/>
      <c r="H83" s="41"/>
      <c r="I83" s="41"/>
    </row>
    <row r="84" spans="1:9" x14ac:dyDescent="0.3">
      <c r="A84" s="41"/>
      <c r="B84" s="48" t="s">
        <v>55</v>
      </c>
      <c r="C84" s="41"/>
      <c r="D84" s="41"/>
      <c r="E84" s="41"/>
      <c r="F84" s="51" t="s">
        <v>55</v>
      </c>
      <c r="G84" s="41"/>
      <c r="H84" s="41"/>
      <c r="I84" s="41"/>
    </row>
    <row r="85" spans="1:9" x14ac:dyDescent="0.3">
      <c r="A85" s="41"/>
      <c r="B85" s="48" t="s">
        <v>16</v>
      </c>
      <c r="C85" s="49">
        <v>2</v>
      </c>
      <c r="D85" s="41"/>
      <c r="E85" s="41"/>
      <c r="F85" s="51" t="s">
        <v>55</v>
      </c>
      <c r="G85" s="41"/>
      <c r="H85" s="41"/>
      <c r="I85" s="41"/>
    </row>
    <row r="86" spans="1:9" x14ac:dyDescent="0.3">
      <c r="A86" s="41"/>
      <c r="B86" s="48" t="s">
        <v>55</v>
      </c>
      <c r="C86" s="41"/>
      <c r="D86" s="41"/>
      <c r="E86" s="41"/>
      <c r="F86" s="51" t="s">
        <v>55</v>
      </c>
      <c r="G86" s="41"/>
      <c r="H86" s="41"/>
      <c r="I86" s="41"/>
    </row>
    <row r="87" spans="1:9" x14ac:dyDescent="0.3">
      <c r="A87" s="41"/>
      <c r="B87" s="48" t="s">
        <v>17</v>
      </c>
      <c r="C87" s="81">
        <v>200</v>
      </c>
      <c r="D87" s="41"/>
      <c r="E87" s="41"/>
      <c r="F87" s="51" t="s">
        <v>55</v>
      </c>
      <c r="G87" s="41"/>
      <c r="H87" s="41"/>
      <c r="I87" s="41"/>
    </row>
    <row r="88" spans="1:9" x14ac:dyDescent="0.3">
      <c r="A88" s="41"/>
      <c r="B88" s="48" t="s">
        <v>55</v>
      </c>
      <c r="C88" s="41"/>
      <c r="D88" s="41"/>
      <c r="E88" s="41"/>
      <c r="F88" s="51" t="s">
        <v>55</v>
      </c>
      <c r="G88" s="41"/>
      <c r="H88" s="41"/>
      <c r="I88" s="41"/>
    </row>
    <row r="89" spans="1:9" x14ac:dyDescent="0.3">
      <c r="A89" s="41"/>
      <c r="B89" s="52" t="s">
        <v>18</v>
      </c>
      <c r="C89" s="53">
        <v>300</v>
      </c>
      <c r="D89" s="54" t="s">
        <v>55</v>
      </c>
      <c r="E89" s="54" t="s">
        <v>55</v>
      </c>
      <c r="F89" s="55" t="s">
        <v>55</v>
      </c>
      <c r="G89" s="41"/>
      <c r="H89" s="41"/>
      <c r="I89" s="41"/>
    </row>
    <row r="90" spans="1:9" x14ac:dyDescent="0.3">
      <c r="A90" s="41"/>
      <c r="B90" s="41"/>
      <c r="C90" s="41"/>
      <c r="D90" s="41"/>
      <c r="E90" s="41"/>
      <c r="F90" s="41"/>
      <c r="G90" s="41"/>
      <c r="H90" s="41"/>
      <c r="I90" s="41"/>
    </row>
    <row r="91" spans="1:9" x14ac:dyDescent="0.3">
      <c r="A91" s="41"/>
      <c r="B91" s="42" t="s">
        <v>58</v>
      </c>
      <c r="C91" s="41"/>
      <c r="D91" s="41"/>
      <c r="E91" s="41"/>
      <c r="F91" s="41"/>
      <c r="G91" s="41"/>
      <c r="H91" s="41"/>
      <c r="I91" s="41"/>
    </row>
    <row r="92" spans="1:9" x14ac:dyDescent="0.3">
      <c r="A92" s="41"/>
      <c r="B92" s="41" t="s">
        <v>56</v>
      </c>
      <c r="C92" s="4">
        <v>0</v>
      </c>
      <c r="D92" s="4">
        <v>0</v>
      </c>
      <c r="E92" s="6" t="s">
        <v>564</v>
      </c>
      <c r="F92" s="7" t="s">
        <v>584</v>
      </c>
      <c r="H92" s="4">
        <v>106.3</v>
      </c>
      <c r="I92" s="1">
        <f>H92-C92</f>
        <v>106.3</v>
      </c>
    </row>
    <row r="93" spans="1:9" x14ac:dyDescent="0.3">
      <c r="A93" s="41"/>
      <c r="B93" s="41" t="s">
        <v>60</v>
      </c>
      <c r="C93" s="4">
        <v>700</v>
      </c>
      <c r="D93" s="4">
        <v>0</v>
      </c>
      <c r="E93" s="6" t="s">
        <v>564</v>
      </c>
      <c r="F93" s="7" t="s">
        <v>585</v>
      </c>
      <c r="H93" s="4">
        <v>630.05999999999995</v>
      </c>
      <c r="I93" s="1">
        <f t="shared" ref="I93:I98" si="18">H93-C93</f>
        <v>-69.940000000000055</v>
      </c>
    </row>
    <row r="94" spans="1:9" x14ac:dyDescent="0.3">
      <c r="A94" s="41"/>
      <c r="B94" s="41" t="s">
        <v>61</v>
      </c>
      <c r="C94" s="4">
        <v>0</v>
      </c>
      <c r="D94" s="4">
        <v>0</v>
      </c>
      <c r="E94" s="6" t="s">
        <v>564</v>
      </c>
      <c r="F94" s="7" t="s">
        <v>586</v>
      </c>
      <c r="H94" s="4">
        <v>-88.33</v>
      </c>
      <c r="I94" s="1">
        <f t="shared" si="18"/>
        <v>-88.33</v>
      </c>
    </row>
    <row r="95" spans="1:9" x14ac:dyDescent="0.3">
      <c r="A95" s="41"/>
      <c r="B95" s="41" t="s">
        <v>63</v>
      </c>
      <c r="C95" s="4">
        <v>0</v>
      </c>
      <c r="D95" s="4">
        <v>0</v>
      </c>
      <c r="E95" s="6" t="s">
        <v>564</v>
      </c>
      <c r="F95" s="7"/>
      <c r="H95" s="4">
        <v>46.45</v>
      </c>
      <c r="I95" s="1">
        <f t="shared" si="18"/>
        <v>46.45</v>
      </c>
    </row>
    <row r="96" spans="1:9" x14ac:dyDescent="0.3">
      <c r="A96" s="41"/>
      <c r="B96" s="41" t="s">
        <v>64</v>
      </c>
      <c r="C96" s="4">
        <v>105</v>
      </c>
      <c r="D96" s="4">
        <v>1505</v>
      </c>
      <c r="E96" s="6" t="s">
        <v>564</v>
      </c>
      <c r="F96" s="7" t="s">
        <v>587</v>
      </c>
      <c r="H96" s="4">
        <v>120.43</v>
      </c>
      <c r="I96" s="1">
        <f t="shared" si="18"/>
        <v>15.430000000000007</v>
      </c>
    </row>
    <row r="97" spans="1:9" x14ac:dyDescent="0.3">
      <c r="A97" s="41"/>
      <c r="B97" s="41" t="s">
        <v>65</v>
      </c>
      <c r="C97" s="4">
        <v>0</v>
      </c>
      <c r="D97" s="4">
        <v>0</v>
      </c>
      <c r="E97" s="6" t="s">
        <v>564</v>
      </c>
      <c r="F97" s="7" t="s">
        <v>588</v>
      </c>
      <c r="H97" s="4">
        <v>-44.81</v>
      </c>
      <c r="I97" s="1">
        <f t="shared" si="18"/>
        <v>-44.81</v>
      </c>
    </row>
    <row r="98" spans="1:9" x14ac:dyDescent="0.3">
      <c r="A98" s="41"/>
      <c r="B98" s="41" t="s">
        <v>66</v>
      </c>
      <c r="C98" s="4">
        <v>0</v>
      </c>
      <c r="D98" s="4">
        <v>0</v>
      </c>
      <c r="E98" s="6" t="s">
        <v>564</v>
      </c>
      <c r="F98" s="7"/>
      <c r="H98" s="4">
        <v>29.85</v>
      </c>
      <c r="I98" s="1">
        <f t="shared" si="18"/>
        <v>29.85</v>
      </c>
    </row>
    <row r="99" spans="1:9" x14ac:dyDescent="0.3">
      <c r="A99" s="41"/>
      <c r="B99" s="41" t="s">
        <v>29</v>
      </c>
      <c r="C99" s="2">
        <f>SUM(C92:C98)</f>
        <v>805</v>
      </c>
      <c r="D99" s="2">
        <f>SUM(D92:D98)</f>
        <v>1505</v>
      </c>
      <c r="E99" s="6"/>
      <c r="F99" s="7"/>
      <c r="H99" s="2">
        <f>SUM(H92:H98)</f>
        <v>799.94999999999993</v>
      </c>
      <c r="I99" s="2">
        <f>SUM(I92:I98)</f>
        <v>-5.0500000000000469</v>
      </c>
    </row>
    <row r="100" spans="1:9" x14ac:dyDescent="0.3">
      <c r="A100" s="41"/>
      <c r="B100" s="41" t="s">
        <v>67</v>
      </c>
      <c r="C100" s="4">
        <v>700</v>
      </c>
      <c r="D100" s="4">
        <v>0</v>
      </c>
      <c r="E100" s="6" t="s">
        <v>564</v>
      </c>
      <c r="F100" s="7" t="s">
        <v>573</v>
      </c>
      <c r="H100" s="4">
        <v>0</v>
      </c>
      <c r="I100" s="1">
        <f>H100-C100</f>
        <v>-700</v>
      </c>
    </row>
    <row r="101" spans="1:9" x14ac:dyDescent="0.3">
      <c r="A101" s="41"/>
      <c r="B101" s="41" t="s">
        <v>68</v>
      </c>
      <c r="C101" s="4">
        <v>0</v>
      </c>
      <c r="D101" s="4">
        <v>0</v>
      </c>
      <c r="E101" s="6"/>
      <c r="F101" s="7"/>
      <c r="H101" s="4">
        <v>0</v>
      </c>
      <c r="I101" s="1">
        <f t="shared" ref="I101:I106" si="19">H101-C101</f>
        <v>0</v>
      </c>
    </row>
    <row r="102" spans="1:9" x14ac:dyDescent="0.3">
      <c r="A102" s="41"/>
      <c r="B102" s="41" t="s">
        <v>69</v>
      </c>
      <c r="C102" s="4">
        <v>0</v>
      </c>
      <c r="D102" s="4">
        <v>0</v>
      </c>
      <c r="E102" s="6"/>
      <c r="F102" s="7"/>
      <c r="H102" s="4">
        <v>0</v>
      </c>
      <c r="I102" s="1">
        <f t="shared" si="19"/>
        <v>0</v>
      </c>
    </row>
    <row r="103" spans="1:9" x14ac:dyDescent="0.3">
      <c r="A103" s="41"/>
      <c r="B103" s="41" t="s">
        <v>70</v>
      </c>
      <c r="C103" s="4">
        <v>0</v>
      </c>
      <c r="D103" s="4">
        <v>0</v>
      </c>
      <c r="E103" s="6"/>
      <c r="F103" s="7"/>
      <c r="H103" s="4">
        <v>0</v>
      </c>
      <c r="I103" s="1">
        <f t="shared" si="19"/>
        <v>0</v>
      </c>
    </row>
    <row r="104" spans="1:9" x14ac:dyDescent="0.3">
      <c r="A104" s="41"/>
      <c r="B104" s="41" t="s">
        <v>71</v>
      </c>
      <c r="C104" s="4">
        <v>0</v>
      </c>
      <c r="D104" s="4">
        <v>0</v>
      </c>
      <c r="E104" s="6"/>
      <c r="F104" s="7"/>
      <c r="H104" s="4">
        <v>0</v>
      </c>
      <c r="I104" s="1">
        <f t="shared" si="19"/>
        <v>0</v>
      </c>
    </row>
    <row r="105" spans="1:9" x14ac:dyDescent="0.3">
      <c r="A105" s="41"/>
      <c r="B105" s="41" t="s">
        <v>72</v>
      </c>
      <c r="C105" s="4">
        <v>0</v>
      </c>
      <c r="D105" s="4">
        <v>0</v>
      </c>
      <c r="E105" s="6"/>
      <c r="F105" s="7"/>
      <c r="H105" s="4">
        <v>0</v>
      </c>
      <c r="I105" s="1">
        <f t="shared" si="19"/>
        <v>0</v>
      </c>
    </row>
    <row r="106" spans="1:9" x14ac:dyDescent="0.3">
      <c r="A106" s="41"/>
      <c r="B106" s="41" t="s">
        <v>73</v>
      </c>
      <c r="C106" s="4">
        <v>0</v>
      </c>
      <c r="D106" s="4">
        <v>0</v>
      </c>
      <c r="E106" s="6"/>
      <c r="F106" s="7"/>
      <c r="H106" s="4">
        <v>0</v>
      </c>
      <c r="I106" s="1">
        <f t="shared" si="19"/>
        <v>0</v>
      </c>
    </row>
    <row r="107" spans="1:9" x14ac:dyDescent="0.3">
      <c r="A107" s="41"/>
      <c r="B107" s="41" t="s">
        <v>29</v>
      </c>
      <c r="C107" s="2">
        <f>SUM(C100:C106)</f>
        <v>700</v>
      </c>
      <c r="D107" s="2">
        <f>SUM(D100:D106)</f>
        <v>0</v>
      </c>
      <c r="E107" s="6"/>
      <c r="F107" s="7"/>
      <c r="H107" s="2">
        <f>SUM(H100:H106)</f>
        <v>0</v>
      </c>
      <c r="I107" s="2">
        <f>SUM(I100:I106)</f>
        <v>-700</v>
      </c>
    </row>
    <row r="108" spans="1:9" x14ac:dyDescent="0.3">
      <c r="A108" s="41"/>
      <c r="B108" s="41" t="s">
        <v>74</v>
      </c>
      <c r="C108" s="4">
        <v>0</v>
      </c>
      <c r="D108" s="4">
        <v>0</v>
      </c>
      <c r="E108" s="6"/>
      <c r="F108" s="7"/>
      <c r="H108" s="4">
        <v>0</v>
      </c>
      <c r="I108" s="1">
        <f>H108-C108</f>
        <v>0</v>
      </c>
    </row>
    <row r="109" spans="1:9" x14ac:dyDescent="0.3">
      <c r="A109" s="41"/>
      <c r="B109" s="41" t="s">
        <v>75</v>
      </c>
      <c r="C109" s="4">
        <v>0</v>
      </c>
      <c r="D109" s="4">
        <v>0</v>
      </c>
      <c r="E109" s="6"/>
      <c r="F109" s="7"/>
      <c r="H109" s="4">
        <v>0</v>
      </c>
      <c r="I109" s="1">
        <f t="shared" ref="I109:I114" si="20">H109-C109</f>
        <v>0</v>
      </c>
    </row>
    <row r="110" spans="1:9" x14ac:dyDescent="0.3">
      <c r="A110" s="41"/>
      <c r="B110" s="41" t="s">
        <v>76</v>
      </c>
      <c r="C110" s="4">
        <v>0</v>
      </c>
      <c r="D110" s="4">
        <v>0</v>
      </c>
      <c r="E110" s="6"/>
      <c r="F110" s="7"/>
      <c r="H110" s="4">
        <v>0</v>
      </c>
      <c r="I110" s="1">
        <f t="shared" si="20"/>
        <v>0</v>
      </c>
    </row>
    <row r="111" spans="1:9" x14ac:dyDescent="0.3">
      <c r="A111" s="41"/>
      <c r="B111" s="41" t="s">
        <v>77</v>
      </c>
      <c r="C111" s="4">
        <v>0</v>
      </c>
      <c r="D111" s="4">
        <v>0</v>
      </c>
      <c r="E111" s="6"/>
      <c r="F111" s="7"/>
      <c r="H111" s="4">
        <v>0</v>
      </c>
      <c r="I111" s="1">
        <f t="shared" si="20"/>
        <v>0</v>
      </c>
    </row>
    <row r="112" spans="1:9" x14ac:dyDescent="0.3">
      <c r="A112" s="41"/>
      <c r="B112" s="41" t="s">
        <v>78</v>
      </c>
      <c r="C112" s="4">
        <v>0</v>
      </c>
      <c r="D112" s="4">
        <v>0</v>
      </c>
      <c r="E112" s="6"/>
      <c r="F112" s="7"/>
      <c r="H112" s="4">
        <v>0</v>
      </c>
      <c r="I112" s="1">
        <f t="shared" si="20"/>
        <v>0</v>
      </c>
    </row>
    <row r="113" spans="1:9" x14ac:dyDescent="0.3">
      <c r="A113" s="41"/>
      <c r="B113" s="41" t="s">
        <v>79</v>
      </c>
      <c r="C113" s="4">
        <v>0</v>
      </c>
      <c r="D113" s="4">
        <v>0</v>
      </c>
      <c r="E113" s="6"/>
      <c r="F113" s="7"/>
      <c r="H113" s="4">
        <v>0</v>
      </c>
      <c r="I113" s="1">
        <f t="shared" si="20"/>
        <v>0</v>
      </c>
    </row>
    <row r="114" spans="1:9" x14ac:dyDescent="0.3">
      <c r="A114" s="41"/>
      <c r="B114" s="41" t="s">
        <v>80</v>
      </c>
      <c r="C114" s="4">
        <v>0</v>
      </c>
      <c r="D114" s="4">
        <v>0</v>
      </c>
      <c r="E114" s="6"/>
      <c r="F114" s="7"/>
      <c r="H114" s="4">
        <v>0</v>
      </c>
      <c r="I114" s="1">
        <f t="shared" si="20"/>
        <v>0</v>
      </c>
    </row>
    <row r="115" spans="1:9" x14ac:dyDescent="0.3">
      <c r="A115" s="41"/>
      <c r="B115" s="41" t="s">
        <v>29</v>
      </c>
      <c r="C115" s="2">
        <f>SUM(C108:C114)</f>
        <v>0</v>
      </c>
      <c r="D115" s="2">
        <f>SUM(D108:D114)</f>
        <v>0</v>
      </c>
      <c r="E115" s="6"/>
      <c r="F115" s="7"/>
      <c r="H115" s="2">
        <f>SUM(H108:H114)</f>
        <v>0</v>
      </c>
      <c r="I115" s="2">
        <f>SUM(I108:I114)</f>
        <v>0</v>
      </c>
    </row>
    <row r="116" spans="1:9" x14ac:dyDescent="0.3">
      <c r="A116" s="41"/>
      <c r="B116" s="41" t="s">
        <v>81</v>
      </c>
      <c r="C116" s="4">
        <v>0</v>
      </c>
      <c r="D116" s="4">
        <v>0</v>
      </c>
      <c r="E116" s="6"/>
      <c r="F116" s="7"/>
      <c r="H116" s="4">
        <v>0</v>
      </c>
      <c r="I116" s="1">
        <f>H116-C116</f>
        <v>0</v>
      </c>
    </row>
    <row r="117" spans="1:9" x14ac:dyDescent="0.3">
      <c r="A117" s="41"/>
      <c r="B117" s="41" t="s">
        <v>82</v>
      </c>
      <c r="C117" s="4">
        <v>0</v>
      </c>
      <c r="D117" s="4">
        <v>0</v>
      </c>
      <c r="E117" s="6"/>
      <c r="F117" s="7"/>
      <c r="H117" s="4">
        <v>0</v>
      </c>
      <c r="I117" s="1">
        <f t="shared" ref="I117:I122" si="21">H117-C117</f>
        <v>0</v>
      </c>
    </row>
    <row r="118" spans="1:9" x14ac:dyDescent="0.3">
      <c r="A118" s="41"/>
      <c r="B118" s="41" t="s">
        <v>83</v>
      </c>
      <c r="C118" s="4">
        <v>0</v>
      </c>
      <c r="D118" s="4">
        <v>0</v>
      </c>
      <c r="E118" s="6"/>
      <c r="F118" s="7"/>
      <c r="H118" s="4">
        <v>0</v>
      </c>
      <c r="I118" s="1">
        <f t="shared" si="21"/>
        <v>0</v>
      </c>
    </row>
    <row r="119" spans="1:9" x14ac:dyDescent="0.3">
      <c r="A119" s="41"/>
      <c r="B119" s="41" t="s">
        <v>84</v>
      </c>
      <c r="C119" s="4">
        <v>0</v>
      </c>
      <c r="D119" s="4">
        <v>0</v>
      </c>
      <c r="E119" s="6"/>
      <c r="F119" s="7"/>
      <c r="H119" s="4">
        <v>0</v>
      </c>
      <c r="I119" s="1">
        <f t="shared" si="21"/>
        <v>0</v>
      </c>
    </row>
    <row r="120" spans="1:9" x14ac:dyDescent="0.3">
      <c r="A120" s="41"/>
      <c r="B120" s="41" t="s">
        <v>85</v>
      </c>
      <c r="C120" s="4">
        <v>0</v>
      </c>
      <c r="D120" s="4">
        <v>0</v>
      </c>
      <c r="E120" s="6"/>
      <c r="F120" s="7"/>
      <c r="H120" s="4">
        <v>0</v>
      </c>
      <c r="I120" s="1">
        <f t="shared" si="21"/>
        <v>0</v>
      </c>
    </row>
    <row r="121" spans="1:9" x14ac:dyDescent="0.3">
      <c r="A121" s="41"/>
      <c r="B121" s="41" t="s">
        <v>86</v>
      </c>
      <c r="C121" s="4">
        <v>0</v>
      </c>
      <c r="D121" s="4">
        <v>0</v>
      </c>
      <c r="E121" s="6"/>
      <c r="F121" s="7"/>
      <c r="H121" s="4">
        <v>0</v>
      </c>
      <c r="I121" s="1">
        <f t="shared" si="21"/>
        <v>0</v>
      </c>
    </row>
    <row r="122" spans="1:9" x14ac:dyDescent="0.3">
      <c r="A122" s="41"/>
      <c r="B122" s="41" t="s">
        <v>87</v>
      </c>
      <c r="C122" s="4"/>
      <c r="D122" s="4">
        <v>0</v>
      </c>
      <c r="E122" s="6"/>
      <c r="F122" s="7"/>
      <c r="H122" s="4">
        <v>0</v>
      </c>
      <c r="I122" s="1">
        <f t="shared" si="21"/>
        <v>0</v>
      </c>
    </row>
    <row r="123" spans="1:9" x14ac:dyDescent="0.3">
      <c r="A123" s="41"/>
      <c r="B123" s="41" t="s">
        <v>11</v>
      </c>
      <c r="C123" s="2">
        <f>SUM(C116:C122)</f>
        <v>0</v>
      </c>
      <c r="D123" s="2">
        <f>SUM(D116:D122)</f>
        <v>0</v>
      </c>
      <c r="E123" s="6"/>
      <c r="F123" s="7"/>
      <c r="H123" s="2">
        <f t="shared" ref="H123:I123" si="22">SUM(H116:H122)</f>
        <v>0</v>
      </c>
      <c r="I123" s="2">
        <f t="shared" si="22"/>
        <v>0</v>
      </c>
    </row>
    <row r="124" spans="1:9" x14ac:dyDescent="0.3">
      <c r="A124" s="41"/>
      <c r="B124" s="41" t="s">
        <v>12</v>
      </c>
      <c r="C124" s="3">
        <f>SUM(C123+C115+C107+C99)</f>
        <v>1505</v>
      </c>
      <c r="D124" s="3">
        <f>SUM(D123+D115+D107+D99)</f>
        <v>1505</v>
      </c>
      <c r="E124" s="6"/>
      <c r="F124" s="7"/>
      <c r="H124" s="3">
        <f t="shared" ref="H124:I124" si="23">SUM(H123+H115+H107+H99)</f>
        <v>799.94999999999993</v>
      </c>
      <c r="I124" s="3">
        <f t="shared" si="23"/>
        <v>-705.05000000000007</v>
      </c>
    </row>
    <row r="125" spans="1:9" x14ac:dyDescent="0.3">
      <c r="A125" s="41"/>
      <c r="B125" s="41" t="s">
        <v>13</v>
      </c>
      <c r="C125" s="1">
        <f>D124+C124</f>
        <v>3010</v>
      </c>
      <c r="E125" s="24"/>
      <c r="F125" s="25"/>
      <c r="H125" s="1">
        <f t="shared" ref="H125:I125" si="24">I124+H124</f>
        <v>94.899999999999864</v>
      </c>
      <c r="I125" s="1">
        <f t="shared" si="24"/>
        <v>-705.05000000000007</v>
      </c>
    </row>
    <row r="126" spans="1:9" x14ac:dyDescent="0.3">
      <c r="A126" s="41"/>
      <c r="B126" s="44" t="s">
        <v>55</v>
      </c>
      <c r="C126" s="45" t="s">
        <v>88</v>
      </c>
      <c r="D126" s="45" t="s">
        <v>14</v>
      </c>
      <c r="E126" s="46"/>
      <c r="F126" s="47" t="s">
        <v>55</v>
      </c>
      <c r="G126" s="41"/>
      <c r="H126" s="41"/>
      <c r="I126" s="41"/>
    </row>
    <row r="127" spans="1:9" x14ac:dyDescent="0.3">
      <c r="A127" s="41"/>
      <c r="B127" s="48" t="s">
        <v>57</v>
      </c>
      <c r="C127" s="49" t="s">
        <v>55</v>
      </c>
      <c r="D127" s="41"/>
      <c r="E127" s="43" t="s">
        <v>55</v>
      </c>
      <c r="F127" s="50" t="s">
        <v>55</v>
      </c>
      <c r="G127" s="41"/>
      <c r="H127" s="41"/>
      <c r="I127" s="41"/>
    </row>
    <row r="128" spans="1:9" x14ac:dyDescent="0.3">
      <c r="A128" s="41"/>
      <c r="B128" s="48" t="s">
        <v>55</v>
      </c>
      <c r="C128" s="41"/>
      <c r="D128" s="41"/>
      <c r="E128" s="41"/>
      <c r="F128" s="51" t="s">
        <v>55</v>
      </c>
      <c r="G128" s="41"/>
      <c r="H128" s="41"/>
      <c r="I128" s="41"/>
    </row>
    <row r="129" spans="1:9" x14ac:dyDescent="0.3">
      <c r="A129" s="41"/>
      <c r="B129" s="48" t="s">
        <v>16</v>
      </c>
      <c r="C129" s="49" t="s">
        <v>55</v>
      </c>
      <c r="D129" s="41"/>
      <c r="E129" s="41"/>
      <c r="F129" s="51" t="s">
        <v>55</v>
      </c>
      <c r="G129" s="41"/>
      <c r="H129" s="41"/>
      <c r="I129" s="41"/>
    </row>
    <row r="130" spans="1:9" x14ac:dyDescent="0.3">
      <c r="A130" s="41"/>
      <c r="B130" s="48" t="s">
        <v>55</v>
      </c>
      <c r="C130" s="41"/>
      <c r="D130" s="41"/>
      <c r="E130" s="41"/>
      <c r="F130" s="51" t="s">
        <v>55</v>
      </c>
      <c r="G130" s="41"/>
      <c r="H130" s="41"/>
      <c r="I130" s="41"/>
    </row>
    <row r="131" spans="1:9" x14ac:dyDescent="0.3">
      <c r="A131" s="41"/>
      <c r="B131" s="48" t="s">
        <v>17</v>
      </c>
      <c r="C131" s="49" t="s">
        <v>55</v>
      </c>
      <c r="D131" s="41"/>
      <c r="E131" s="41"/>
      <c r="F131" s="51" t="s">
        <v>55</v>
      </c>
      <c r="G131" s="41"/>
      <c r="H131" s="41"/>
      <c r="I131" s="41"/>
    </row>
    <row r="132" spans="1:9" x14ac:dyDescent="0.3">
      <c r="A132" s="41"/>
      <c r="B132" s="48" t="s">
        <v>55</v>
      </c>
      <c r="C132" s="41"/>
      <c r="D132" s="41"/>
      <c r="E132" s="41"/>
      <c r="F132" s="51" t="s">
        <v>55</v>
      </c>
      <c r="G132" s="41"/>
      <c r="H132" s="41"/>
      <c r="I132" s="41"/>
    </row>
    <row r="133" spans="1:9" x14ac:dyDescent="0.3">
      <c r="A133" s="41"/>
      <c r="B133" s="52" t="s">
        <v>18</v>
      </c>
      <c r="C133" s="53" t="s">
        <v>55</v>
      </c>
      <c r="D133" s="54" t="s">
        <v>55</v>
      </c>
      <c r="E133" s="54" t="s">
        <v>55</v>
      </c>
      <c r="F133" s="55" t="s">
        <v>55</v>
      </c>
      <c r="G133" s="41"/>
      <c r="H133" s="41"/>
      <c r="I133" s="41"/>
    </row>
    <row r="134" spans="1:9" x14ac:dyDescent="0.3">
      <c r="A134" s="41"/>
      <c r="B134" s="41"/>
      <c r="C134" s="41"/>
      <c r="D134" s="41"/>
      <c r="E134" s="41"/>
      <c r="F134" s="41"/>
      <c r="G134" s="41"/>
      <c r="H134" s="41"/>
      <c r="I134" s="41"/>
    </row>
    <row r="135" spans="1:9" x14ac:dyDescent="0.3">
      <c r="A135" s="41"/>
      <c r="B135" s="42" t="s">
        <v>89</v>
      </c>
      <c r="C135" s="41"/>
      <c r="D135" s="41"/>
      <c r="E135" s="41"/>
      <c r="F135" s="41"/>
      <c r="G135" s="41"/>
      <c r="H135" s="41"/>
      <c r="I135" s="41"/>
    </row>
    <row r="136" spans="1:9" x14ac:dyDescent="0.3">
      <c r="A136" s="41"/>
      <c r="B136" s="41" t="s">
        <v>88</v>
      </c>
      <c r="C136" s="4">
        <v>0</v>
      </c>
      <c r="D136" s="4">
        <v>0</v>
      </c>
      <c r="E136" s="6"/>
      <c r="F136" s="7"/>
      <c r="H136" s="4">
        <v>0</v>
      </c>
      <c r="I136" s="1">
        <f>H136-C136</f>
        <v>0</v>
      </c>
    </row>
    <row r="137" spans="1:9" x14ac:dyDescent="0.3">
      <c r="A137" s="41"/>
      <c r="B137" s="41" t="s">
        <v>90</v>
      </c>
      <c r="C137" s="4">
        <v>0</v>
      </c>
      <c r="D137" s="4">
        <v>0</v>
      </c>
      <c r="E137" s="6"/>
      <c r="F137" s="7"/>
      <c r="H137" s="4">
        <v>0</v>
      </c>
      <c r="I137" s="1">
        <f t="shared" ref="I137:I142" si="25">H137-C137</f>
        <v>0</v>
      </c>
    </row>
    <row r="138" spans="1:9" x14ac:dyDescent="0.3">
      <c r="A138" s="41"/>
      <c r="B138" s="41" t="s">
        <v>91</v>
      </c>
      <c r="C138" s="4">
        <v>0</v>
      </c>
      <c r="D138" s="4">
        <v>0</v>
      </c>
      <c r="E138" s="6"/>
      <c r="F138" s="7"/>
      <c r="H138" s="4">
        <v>0</v>
      </c>
      <c r="I138" s="1">
        <f t="shared" si="25"/>
        <v>0</v>
      </c>
    </row>
    <row r="139" spans="1:9" x14ac:dyDescent="0.3">
      <c r="A139" s="41"/>
      <c r="B139" s="41" t="s">
        <v>92</v>
      </c>
      <c r="C139" s="4">
        <v>0</v>
      </c>
      <c r="D139" s="4">
        <v>0</v>
      </c>
      <c r="E139" s="6"/>
      <c r="F139" s="7"/>
      <c r="H139" s="4">
        <v>0</v>
      </c>
      <c r="I139" s="1">
        <f t="shared" si="25"/>
        <v>0</v>
      </c>
    </row>
    <row r="140" spans="1:9" x14ac:dyDescent="0.3">
      <c r="A140" s="41"/>
      <c r="B140" s="41" t="s">
        <v>93</v>
      </c>
      <c r="C140" s="4">
        <v>0</v>
      </c>
      <c r="D140" s="4">
        <v>0</v>
      </c>
      <c r="E140" s="6"/>
      <c r="F140" s="7"/>
      <c r="H140" s="4">
        <v>0</v>
      </c>
      <c r="I140" s="1">
        <f t="shared" si="25"/>
        <v>0</v>
      </c>
    </row>
    <row r="141" spans="1:9" x14ac:dyDescent="0.3">
      <c r="A141" s="41"/>
      <c r="B141" s="41" t="s">
        <v>94</v>
      </c>
      <c r="C141" s="4">
        <v>0</v>
      </c>
      <c r="D141" s="4">
        <v>0</v>
      </c>
      <c r="E141" s="6"/>
      <c r="F141" s="7"/>
      <c r="H141" s="4">
        <v>0</v>
      </c>
      <c r="I141" s="1">
        <f t="shared" si="25"/>
        <v>0</v>
      </c>
    </row>
    <row r="142" spans="1:9" x14ac:dyDescent="0.3">
      <c r="A142" s="41"/>
      <c r="B142" s="41" t="s">
        <v>95</v>
      </c>
      <c r="C142" s="4">
        <v>0</v>
      </c>
      <c r="D142" s="4">
        <v>0</v>
      </c>
      <c r="E142" s="6"/>
      <c r="F142" s="7"/>
      <c r="H142" s="4">
        <v>0</v>
      </c>
      <c r="I142" s="1">
        <f t="shared" si="25"/>
        <v>0</v>
      </c>
    </row>
    <row r="143" spans="1:9" x14ac:dyDescent="0.3">
      <c r="A143" s="41"/>
      <c r="B143" s="41" t="s">
        <v>29</v>
      </c>
      <c r="C143" s="2">
        <f>SUM(C136:C142)</f>
        <v>0</v>
      </c>
      <c r="D143" s="2">
        <f>SUM(D136:D142)</f>
        <v>0</v>
      </c>
      <c r="E143" s="6"/>
      <c r="F143" s="7"/>
      <c r="H143" s="2">
        <f>SUM(H136:H142)</f>
        <v>0</v>
      </c>
      <c r="I143" s="2">
        <f>SUM(I136:I142)</f>
        <v>0</v>
      </c>
    </row>
    <row r="144" spans="1:9" x14ac:dyDescent="0.3">
      <c r="A144" s="41"/>
      <c r="B144" s="41" t="s">
        <v>96</v>
      </c>
      <c r="C144" s="4">
        <v>0</v>
      </c>
      <c r="D144" s="4">
        <v>0</v>
      </c>
      <c r="E144" s="6"/>
      <c r="F144" s="7"/>
      <c r="H144" s="4">
        <v>0</v>
      </c>
      <c r="I144" s="1">
        <f>H144-C144</f>
        <v>0</v>
      </c>
    </row>
    <row r="145" spans="1:9" x14ac:dyDescent="0.3">
      <c r="A145" s="41"/>
      <c r="B145" s="41" t="s">
        <v>97</v>
      </c>
      <c r="C145" s="4">
        <v>0</v>
      </c>
      <c r="D145" s="4">
        <v>0</v>
      </c>
      <c r="E145" s="6"/>
      <c r="F145" s="7"/>
      <c r="H145" s="4">
        <v>0</v>
      </c>
      <c r="I145" s="1">
        <f t="shared" ref="I145:I150" si="26">H145-C145</f>
        <v>0</v>
      </c>
    </row>
    <row r="146" spans="1:9" x14ac:dyDescent="0.3">
      <c r="A146" s="41"/>
      <c r="B146" s="41" t="s">
        <v>98</v>
      </c>
      <c r="C146" s="4">
        <v>0</v>
      </c>
      <c r="D146" s="4">
        <v>0</v>
      </c>
      <c r="E146" s="6"/>
      <c r="F146" s="7"/>
      <c r="H146" s="4">
        <v>0</v>
      </c>
      <c r="I146" s="1">
        <f t="shared" si="26"/>
        <v>0</v>
      </c>
    </row>
    <row r="147" spans="1:9" x14ac:dyDescent="0.3">
      <c r="A147" s="41"/>
      <c r="B147" s="41" t="s">
        <v>99</v>
      </c>
      <c r="C147" s="4">
        <v>0</v>
      </c>
      <c r="D147" s="4">
        <v>0</v>
      </c>
      <c r="E147" s="6"/>
      <c r="F147" s="7"/>
      <c r="H147" s="4">
        <v>0</v>
      </c>
      <c r="I147" s="1">
        <f t="shared" si="26"/>
        <v>0</v>
      </c>
    </row>
    <row r="148" spans="1:9" x14ac:dyDescent="0.3">
      <c r="A148" s="41"/>
      <c r="B148" s="41" t="s">
        <v>100</v>
      </c>
      <c r="C148" s="4">
        <v>0</v>
      </c>
      <c r="D148" s="4">
        <v>0</v>
      </c>
      <c r="E148" s="6"/>
      <c r="F148" s="7"/>
      <c r="H148" s="4">
        <v>0</v>
      </c>
      <c r="I148" s="1">
        <f t="shared" si="26"/>
        <v>0</v>
      </c>
    </row>
    <row r="149" spans="1:9" x14ac:dyDescent="0.3">
      <c r="A149" s="41"/>
      <c r="B149" s="41" t="s">
        <v>101</v>
      </c>
      <c r="C149" s="4">
        <v>0</v>
      </c>
      <c r="D149" s="4">
        <v>0</v>
      </c>
      <c r="E149" s="6"/>
      <c r="F149" s="7"/>
      <c r="H149" s="4">
        <v>0</v>
      </c>
      <c r="I149" s="1">
        <f t="shared" si="26"/>
        <v>0</v>
      </c>
    </row>
    <row r="150" spans="1:9" x14ac:dyDescent="0.3">
      <c r="A150" s="41"/>
      <c r="B150" s="41" t="s">
        <v>102</v>
      </c>
      <c r="C150" s="4">
        <v>0</v>
      </c>
      <c r="D150" s="4">
        <v>0</v>
      </c>
      <c r="E150" s="6"/>
      <c r="F150" s="7"/>
      <c r="H150" s="4">
        <v>0</v>
      </c>
      <c r="I150" s="1">
        <f t="shared" si="26"/>
        <v>0</v>
      </c>
    </row>
    <row r="151" spans="1:9" x14ac:dyDescent="0.3">
      <c r="A151" s="41"/>
      <c r="B151" s="41" t="s">
        <v>29</v>
      </c>
      <c r="C151" s="2">
        <f>SUM(C144:C150)</f>
        <v>0</v>
      </c>
      <c r="D151" s="2">
        <f>SUM(D144:D150)</f>
        <v>0</v>
      </c>
      <c r="E151" s="6"/>
      <c r="F151" s="7"/>
      <c r="H151" s="2">
        <f>SUM(H144:H150)</f>
        <v>0</v>
      </c>
      <c r="I151" s="2">
        <f>SUM(I144:I150)</f>
        <v>0</v>
      </c>
    </row>
    <row r="152" spans="1:9" x14ac:dyDescent="0.3">
      <c r="A152" s="41"/>
      <c r="B152" s="41" t="s">
        <v>103</v>
      </c>
      <c r="C152" s="4">
        <v>0</v>
      </c>
      <c r="D152" s="4">
        <v>0</v>
      </c>
      <c r="E152" s="6"/>
      <c r="F152" s="7"/>
      <c r="H152" s="4">
        <v>0</v>
      </c>
      <c r="I152" s="1">
        <f>H152-C152</f>
        <v>0</v>
      </c>
    </row>
    <row r="153" spans="1:9" x14ac:dyDescent="0.3">
      <c r="A153" s="41"/>
      <c r="B153" s="41" t="s">
        <v>104</v>
      </c>
      <c r="C153" s="4">
        <v>0</v>
      </c>
      <c r="D153" s="4">
        <v>0</v>
      </c>
      <c r="E153" s="6"/>
      <c r="F153" s="7"/>
      <c r="H153" s="4">
        <v>0</v>
      </c>
      <c r="I153" s="1">
        <f t="shared" ref="I153:I158" si="27">H153-C153</f>
        <v>0</v>
      </c>
    </row>
    <row r="154" spans="1:9" x14ac:dyDescent="0.3">
      <c r="A154" s="41"/>
      <c r="B154" s="41" t="s">
        <v>105</v>
      </c>
      <c r="C154" s="4">
        <v>0</v>
      </c>
      <c r="D154" s="4">
        <v>0</v>
      </c>
      <c r="E154" s="6"/>
      <c r="F154" s="7"/>
      <c r="H154" s="4">
        <v>0</v>
      </c>
      <c r="I154" s="1">
        <f t="shared" si="27"/>
        <v>0</v>
      </c>
    </row>
    <row r="155" spans="1:9" x14ac:dyDescent="0.3">
      <c r="A155" s="41"/>
      <c r="B155" s="41" t="s">
        <v>106</v>
      </c>
      <c r="C155" s="4">
        <v>0</v>
      </c>
      <c r="D155" s="4">
        <v>0</v>
      </c>
      <c r="E155" s="6"/>
      <c r="F155" s="7"/>
      <c r="H155" s="4">
        <v>0</v>
      </c>
      <c r="I155" s="1">
        <f t="shared" si="27"/>
        <v>0</v>
      </c>
    </row>
    <row r="156" spans="1:9" x14ac:dyDescent="0.3">
      <c r="A156" s="41"/>
      <c r="B156" s="41" t="s">
        <v>107</v>
      </c>
      <c r="C156" s="4">
        <v>0</v>
      </c>
      <c r="D156" s="4">
        <v>0</v>
      </c>
      <c r="E156" s="6"/>
      <c r="F156" s="7"/>
      <c r="H156" s="4">
        <v>0</v>
      </c>
      <c r="I156" s="1">
        <f t="shared" si="27"/>
        <v>0</v>
      </c>
    </row>
    <row r="157" spans="1:9" x14ac:dyDescent="0.3">
      <c r="A157" s="41"/>
      <c r="B157" s="41" t="s">
        <v>108</v>
      </c>
      <c r="C157" s="4">
        <v>0</v>
      </c>
      <c r="D157" s="4">
        <v>0</v>
      </c>
      <c r="E157" s="6"/>
      <c r="F157" s="7"/>
      <c r="H157" s="4">
        <v>0</v>
      </c>
      <c r="I157" s="1">
        <f t="shared" si="27"/>
        <v>0</v>
      </c>
    </row>
    <row r="158" spans="1:9" x14ac:dyDescent="0.3">
      <c r="A158" s="41"/>
      <c r="B158" s="41" t="s">
        <v>109</v>
      </c>
      <c r="C158" s="4">
        <v>0</v>
      </c>
      <c r="D158" s="4">
        <v>0</v>
      </c>
      <c r="E158" s="6"/>
      <c r="F158" s="7"/>
      <c r="H158" s="4">
        <v>0</v>
      </c>
      <c r="I158" s="1">
        <f t="shared" si="27"/>
        <v>0</v>
      </c>
    </row>
    <row r="159" spans="1:9" x14ac:dyDescent="0.3">
      <c r="A159" s="41"/>
      <c r="B159" s="41" t="s">
        <v>29</v>
      </c>
      <c r="C159" s="2">
        <f>SUM(C152:C158)</f>
        <v>0</v>
      </c>
      <c r="D159" s="2">
        <f>SUM(D152:D158)</f>
        <v>0</v>
      </c>
      <c r="E159" s="6"/>
      <c r="F159" s="7"/>
      <c r="H159" s="2">
        <f>SUM(H152:H158)</f>
        <v>0</v>
      </c>
      <c r="I159" s="2">
        <f>SUM(I152:I158)</f>
        <v>0</v>
      </c>
    </row>
    <row r="160" spans="1:9" x14ac:dyDescent="0.3">
      <c r="A160" s="41"/>
      <c r="B160" s="41" t="s">
        <v>110</v>
      </c>
      <c r="C160" s="4">
        <v>0</v>
      </c>
      <c r="D160" s="4">
        <v>0</v>
      </c>
      <c r="E160" s="6"/>
      <c r="F160" s="7"/>
      <c r="H160" s="4">
        <v>0</v>
      </c>
      <c r="I160" s="1">
        <f>H160-C160</f>
        <v>0</v>
      </c>
    </row>
    <row r="161" spans="1:9" x14ac:dyDescent="0.3">
      <c r="A161" s="41"/>
      <c r="B161" s="41" t="s">
        <v>111</v>
      </c>
      <c r="C161" s="4">
        <v>0</v>
      </c>
      <c r="D161" s="4">
        <v>0</v>
      </c>
      <c r="E161" s="6"/>
      <c r="F161" s="7"/>
      <c r="H161" s="4">
        <v>0</v>
      </c>
      <c r="I161" s="1">
        <f t="shared" ref="I161:I166" si="28">H161-C161</f>
        <v>0</v>
      </c>
    </row>
    <row r="162" spans="1:9" x14ac:dyDescent="0.3">
      <c r="A162" s="41"/>
      <c r="B162" s="41" t="s">
        <v>112</v>
      </c>
      <c r="C162" s="4">
        <v>0</v>
      </c>
      <c r="D162" s="4">
        <v>0</v>
      </c>
      <c r="E162" s="6"/>
      <c r="F162" s="7"/>
      <c r="H162" s="4">
        <v>0</v>
      </c>
      <c r="I162" s="1">
        <f t="shared" si="28"/>
        <v>0</v>
      </c>
    </row>
    <row r="163" spans="1:9" x14ac:dyDescent="0.3">
      <c r="A163" s="41"/>
      <c r="B163" s="41" t="s">
        <v>113</v>
      </c>
      <c r="C163" s="4">
        <v>0</v>
      </c>
      <c r="D163" s="4">
        <v>0</v>
      </c>
      <c r="E163" s="6"/>
      <c r="F163" s="7"/>
      <c r="H163" s="4">
        <v>0</v>
      </c>
      <c r="I163" s="1">
        <f t="shared" si="28"/>
        <v>0</v>
      </c>
    </row>
    <row r="164" spans="1:9" x14ac:dyDescent="0.3">
      <c r="A164" s="41"/>
      <c r="B164" s="41" t="s">
        <v>114</v>
      </c>
      <c r="C164" s="4">
        <v>0</v>
      </c>
      <c r="D164" s="4">
        <v>0</v>
      </c>
      <c r="E164" s="6"/>
      <c r="F164" s="7"/>
      <c r="H164" s="4">
        <v>0</v>
      </c>
      <c r="I164" s="1">
        <f t="shared" si="28"/>
        <v>0</v>
      </c>
    </row>
    <row r="165" spans="1:9" x14ac:dyDescent="0.3">
      <c r="A165" s="41"/>
      <c r="B165" s="41" t="s">
        <v>115</v>
      </c>
      <c r="C165" s="4">
        <v>0</v>
      </c>
      <c r="D165" s="4">
        <v>0</v>
      </c>
      <c r="E165" s="6"/>
      <c r="F165" s="7"/>
      <c r="H165" s="4">
        <v>0</v>
      </c>
      <c r="I165" s="1">
        <f t="shared" si="28"/>
        <v>0</v>
      </c>
    </row>
    <row r="166" spans="1:9" x14ac:dyDescent="0.3">
      <c r="A166" s="41"/>
      <c r="B166" s="41" t="s">
        <v>116</v>
      </c>
      <c r="C166" s="4"/>
      <c r="D166" s="4">
        <v>0</v>
      </c>
      <c r="E166" s="6"/>
      <c r="F166" s="7"/>
      <c r="H166" s="4">
        <v>0</v>
      </c>
      <c r="I166" s="1">
        <f t="shared" si="28"/>
        <v>0</v>
      </c>
    </row>
    <row r="167" spans="1:9" x14ac:dyDescent="0.3">
      <c r="A167" s="41"/>
      <c r="B167" s="41" t="s">
        <v>11</v>
      </c>
      <c r="C167" s="2">
        <f>SUM(C160:C166)</f>
        <v>0</v>
      </c>
      <c r="D167" s="2">
        <f>SUM(D160:D166)</f>
        <v>0</v>
      </c>
      <c r="E167" s="6"/>
      <c r="F167" s="7"/>
      <c r="H167" s="2">
        <f t="shared" ref="H167:I167" si="29">SUM(H160:H166)</f>
        <v>0</v>
      </c>
      <c r="I167" s="2">
        <f t="shared" si="29"/>
        <v>0</v>
      </c>
    </row>
    <row r="168" spans="1:9" x14ac:dyDescent="0.3">
      <c r="A168" s="41"/>
      <c r="B168" s="41" t="s">
        <v>12</v>
      </c>
      <c r="C168" s="3">
        <f>SUM(C167+C159+C151+C143)</f>
        <v>0</v>
      </c>
      <c r="D168" s="3">
        <f>SUM(D167+D159+D151+D143)</f>
        <v>0</v>
      </c>
      <c r="E168" s="6"/>
      <c r="F168" s="7"/>
      <c r="H168" s="3">
        <f t="shared" ref="H168:I168" si="30">SUM(H167+H159+H151+H143)</f>
        <v>0</v>
      </c>
      <c r="I168" s="3">
        <f t="shared" si="30"/>
        <v>0</v>
      </c>
    </row>
    <row r="169" spans="1:9" x14ac:dyDescent="0.3">
      <c r="A169" s="41"/>
      <c r="B169" s="41" t="s">
        <v>13</v>
      </c>
      <c r="C169" s="1">
        <f>D168+C168</f>
        <v>0</v>
      </c>
      <c r="E169" s="24"/>
      <c r="F169" s="25"/>
      <c r="H169" s="1">
        <f t="shared" ref="H169:I169" si="31">I168+H168</f>
        <v>0</v>
      </c>
      <c r="I169" s="1">
        <f t="shared" si="31"/>
        <v>0</v>
      </c>
    </row>
    <row r="170" spans="1:9" x14ac:dyDescent="0.3">
      <c r="A170" s="41"/>
      <c r="B170" s="44" t="s">
        <v>55</v>
      </c>
      <c r="C170" s="45" t="s">
        <v>117</v>
      </c>
      <c r="D170" s="45" t="s">
        <v>14</v>
      </c>
      <c r="E170" s="46"/>
      <c r="F170" s="47" t="s">
        <v>55</v>
      </c>
      <c r="G170" s="41"/>
      <c r="H170" s="41"/>
      <c r="I170" s="41"/>
    </row>
    <row r="171" spans="1:9" x14ac:dyDescent="0.3">
      <c r="A171" s="41"/>
      <c r="B171" s="48" t="s">
        <v>57</v>
      </c>
      <c r="C171" s="49" t="s">
        <v>55</v>
      </c>
      <c r="D171" s="41"/>
      <c r="E171" s="43" t="s">
        <v>55</v>
      </c>
      <c r="F171" s="50" t="s">
        <v>55</v>
      </c>
      <c r="G171" s="41"/>
      <c r="H171" s="41"/>
      <c r="I171" s="41"/>
    </row>
    <row r="172" spans="1:9" x14ac:dyDescent="0.3">
      <c r="A172" s="41"/>
      <c r="B172" s="48" t="s">
        <v>55</v>
      </c>
      <c r="C172" s="41"/>
      <c r="D172" s="41"/>
      <c r="E172" s="41"/>
      <c r="F172" s="51" t="s">
        <v>55</v>
      </c>
      <c r="G172" s="41"/>
      <c r="H172" s="41"/>
      <c r="I172" s="41"/>
    </row>
    <row r="173" spans="1:9" x14ac:dyDescent="0.3">
      <c r="A173" s="41"/>
      <c r="B173" s="48" t="s">
        <v>16</v>
      </c>
      <c r="C173" s="49" t="s">
        <v>55</v>
      </c>
      <c r="D173" s="41"/>
      <c r="E173" s="41"/>
      <c r="F173" s="51" t="s">
        <v>55</v>
      </c>
      <c r="G173" s="41"/>
      <c r="H173" s="41"/>
      <c r="I173" s="41"/>
    </row>
    <row r="174" spans="1:9" x14ac:dyDescent="0.3">
      <c r="A174" s="41"/>
      <c r="B174" s="48" t="s">
        <v>55</v>
      </c>
      <c r="C174" s="41"/>
      <c r="D174" s="41"/>
      <c r="E174" s="41"/>
      <c r="F174" s="51" t="s">
        <v>55</v>
      </c>
      <c r="G174" s="41"/>
      <c r="H174" s="41"/>
      <c r="I174" s="41"/>
    </row>
    <row r="175" spans="1:9" x14ac:dyDescent="0.3">
      <c r="A175" s="41"/>
      <c r="B175" s="48" t="s">
        <v>17</v>
      </c>
      <c r="C175" s="49" t="s">
        <v>55</v>
      </c>
      <c r="D175" s="41"/>
      <c r="E175" s="41"/>
      <c r="F175" s="51" t="s">
        <v>55</v>
      </c>
      <c r="G175" s="41"/>
      <c r="H175" s="41"/>
      <c r="I175" s="41"/>
    </row>
    <row r="176" spans="1:9" x14ac:dyDescent="0.3">
      <c r="A176" s="41"/>
      <c r="B176" s="48" t="s">
        <v>55</v>
      </c>
      <c r="C176" s="41"/>
      <c r="D176" s="41"/>
      <c r="E176" s="41"/>
      <c r="F176" s="51" t="s">
        <v>55</v>
      </c>
      <c r="G176" s="41"/>
      <c r="H176" s="41"/>
      <c r="I176" s="41"/>
    </row>
    <row r="177" spans="1:9" x14ac:dyDescent="0.3">
      <c r="A177" s="41"/>
      <c r="B177" s="52" t="s">
        <v>18</v>
      </c>
      <c r="C177" s="53" t="s">
        <v>55</v>
      </c>
      <c r="D177" s="54" t="s">
        <v>55</v>
      </c>
      <c r="E177" s="54" t="s">
        <v>55</v>
      </c>
      <c r="F177" s="55" t="s">
        <v>55</v>
      </c>
      <c r="G177" s="41"/>
      <c r="H177" s="41"/>
      <c r="I177" s="41"/>
    </row>
    <row r="178" spans="1:9" x14ac:dyDescent="0.3">
      <c r="A178" s="41"/>
      <c r="B178" s="41"/>
      <c r="C178" s="41"/>
      <c r="D178" s="41"/>
      <c r="E178" s="41"/>
      <c r="F178" s="41"/>
      <c r="G178" s="41"/>
      <c r="H178" s="41"/>
      <c r="I178" s="41"/>
    </row>
    <row r="179" spans="1:9" x14ac:dyDescent="0.3">
      <c r="A179" s="41"/>
      <c r="B179" s="42" t="s">
        <v>118</v>
      </c>
      <c r="C179" s="41"/>
      <c r="D179" s="41"/>
      <c r="E179" s="41"/>
      <c r="F179" s="41"/>
      <c r="G179" s="41"/>
      <c r="H179" s="41"/>
      <c r="I179" s="41"/>
    </row>
    <row r="180" spans="1:9" x14ac:dyDescent="0.3">
      <c r="A180" s="41"/>
      <c r="B180" s="41" t="s">
        <v>117</v>
      </c>
      <c r="C180" s="4">
        <v>0</v>
      </c>
      <c r="D180" s="4">
        <v>0</v>
      </c>
      <c r="E180" s="6"/>
      <c r="F180" s="7"/>
      <c r="H180" s="4">
        <v>0</v>
      </c>
      <c r="I180" s="1">
        <f>H180-C180</f>
        <v>0</v>
      </c>
    </row>
    <row r="181" spans="1:9" x14ac:dyDescent="0.3">
      <c r="A181" s="41"/>
      <c r="B181" s="41" t="s">
        <v>119</v>
      </c>
      <c r="C181" s="4">
        <v>0</v>
      </c>
      <c r="D181" s="4">
        <v>0</v>
      </c>
      <c r="E181" s="6"/>
      <c r="F181" s="7"/>
      <c r="H181" s="4">
        <v>0</v>
      </c>
      <c r="I181" s="1">
        <f t="shared" ref="I181:I186" si="32">H181-C181</f>
        <v>0</v>
      </c>
    </row>
    <row r="182" spans="1:9" x14ac:dyDescent="0.3">
      <c r="A182" s="41"/>
      <c r="B182" s="41" t="s">
        <v>120</v>
      </c>
      <c r="C182" s="4">
        <v>0</v>
      </c>
      <c r="D182" s="4">
        <v>0</v>
      </c>
      <c r="E182" s="6"/>
      <c r="F182" s="7"/>
      <c r="H182" s="4">
        <v>0</v>
      </c>
      <c r="I182" s="1">
        <f t="shared" si="32"/>
        <v>0</v>
      </c>
    </row>
    <row r="183" spans="1:9" x14ac:dyDescent="0.3">
      <c r="A183" s="41"/>
      <c r="B183" s="41" t="s">
        <v>121</v>
      </c>
      <c r="C183" s="4">
        <v>0</v>
      </c>
      <c r="D183" s="4">
        <v>0</v>
      </c>
      <c r="E183" s="6"/>
      <c r="F183" s="7"/>
      <c r="H183" s="4">
        <v>0</v>
      </c>
      <c r="I183" s="1">
        <f t="shared" si="32"/>
        <v>0</v>
      </c>
    </row>
    <row r="184" spans="1:9" x14ac:dyDescent="0.3">
      <c r="A184" s="41"/>
      <c r="B184" s="41" t="s">
        <v>122</v>
      </c>
      <c r="C184" s="4">
        <v>0</v>
      </c>
      <c r="D184" s="4">
        <v>0</v>
      </c>
      <c r="E184" s="6"/>
      <c r="F184" s="7"/>
      <c r="H184" s="4">
        <v>0</v>
      </c>
      <c r="I184" s="1">
        <f t="shared" si="32"/>
        <v>0</v>
      </c>
    </row>
    <row r="185" spans="1:9" x14ac:dyDescent="0.3">
      <c r="A185" s="41"/>
      <c r="B185" s="41" t="s">
        <v>123</v>
      </c>
      <c r="C185" s="4">
        <v>0</v>
      </c>
      <c r="D185" s="4">
        <v>0</v>
      </c>
      <c r="E185" s="6"/>
      <c r="F185" s="7"/>
      <c r="H185" s="4">
        <v>0</v>
      </c>
      <c r="I185" s="1">
        <f t="shared" si="32"/>
        <v>0</v>
      </c>
    </row>
    <row r="186" spans="1:9" x14ac:dyDescent="0.3">
      <c r="A186" s="41"/>
      <c r="B186" s="41" t="s">
        <v>124</v>
      </c>
      <c r="C186" s="4">
        <v>0</v>
      </c>
      <c r="D186" s="4">
        <v>0</v>
      </c>
      <c r="E186" s="6"/>
      <c r="F186" s="7"/>
      <c r="H186" s="4">
        <v>0</v>
      </c>
      <c r="I186" s="1">
        <f t="shared" si="32"/>
        <v>0</v>
      </c>
    </row>
    <row r="187" spans="1:9" x14ac:dyDescent="0.3">
      <c r="A187" s="41"/>
      <c r="B187" s="41" t="s">
        <v>29</v>
      </c>
      <c r="C187" s="2">
        <f>SUM(C180:C186)</f>
        <v>0</v>
      </c>
      <c r="D187" s="2">
        <f>SUM(D180:D186)</f>
        <v>0</v>
      </c>
      <c r="E187" s="6"/>
      <c r="F187" s="7"/>
      <c r="H187" s="2">
        <f>SUM(H180:H186)</f>
        <v>0</v>
      </c>
      <c r="I187" s="2">
        <f>SUM(I180:I186)</f>
        <v>0</v>
      </c>
    </row>
    <row r="188" spans="1:9" x14ac:dyDescent="0.3">
      <c r="A188" s="41"/>
      <c r="B188" s="41" t="s">
        <v>125</v>
      </c>
      <c r="C188" s="4">
        <v>0</v>
      </c>
      <c r="D188" s="4">
        <v>0</v>
      </c>
      <c r="E188" s="6"/>
      <c r="F188" s="7"/>
      <c r="H188" s="4">
        <v>0</v>
      </c>
      <c r="I188" s="1">
        <f>H188-C188</f>
        <v>0</v>
      </c>
    </row>
    <row r="189" spans="1:9" x14ac:dyDescent="0.3">
      <c r="A189" s="41"/>
      <c r="B189" s="41" t="s">
        <v>126</v>
      </c>
      <c r="C189" s="4">
        <v>0</v>
      </c>
      <c r="D189" s="4">
        <v>0</v>
      </c>
      <c r="E189" s="6"/>
      <c r="F189" s="7"/>
      <c r="H189" s="4">
        <v>0</v>
      </c>
      <c r="I189" s="1">
        <f t="shared" ref="I189:I194" si="33">H189-C189</f>
        <v>0</v>
      </c>
    </row>
    <row r="190" spans="1:9" x14ac:dyDescent="0.3">
      <c r="A190" s="41"/>
      <c r="B190" s="41" t="s">
        <v>127</v>
      </c>
      <c r="C190" s="4">
        <v>0</v>
      </c>
      <c r="D190" s="4">
        <v>0</v>
      </c>
      <c r="E190" s="6"/>
      <c r="F190" s="7"/>
      <c r="H190" s="4">
        <v>0</v>
      </c>
      <c r="I190" s="1">
        <f t="shared" si="33"/>
        <v>0</v>
      </c>
    </row>
    <row r="191" spans="1:9" x14ac:dyDescent="0.3">
      <c r="A191" s="41"/>
      <c r="B191" s="41" t="s">
        <v>128</v>
      </c>
      <c r="C191" s="4">
        <v>0</v>
      </c>
      <c r="D191" s="4">
        <v>0</v>
      </c>
      <c r="E191" s="6"/>
      <c r="F191" s="7"/>
      <c r="H191" s="4">
        <v>0</v>
      </c>
      <c r="I191" s="1">
        <f t="shared" si="33"/>
        <v>0</v>
      </c>
    </row>
    <row r="192" spans="1:9" x14ac:dyDescent="0.3">
      <c r="A192" s="41"/>
      <c r="B192" s="41" t="s">
        <v>129</v>
      </c>
      <c r="C192" s="4">
        <v>0</v>
      </c>
      <c r="D192" s="4">
        <v>0</v>
      </c>
      <c r="E192" s="6"/>
      <c r="F192" s="7"/>
      <c r="H192" s="4">
        <v>0</v>
      </c>
      <c r="I192" s="1">
        <f t="shared" si="33"/>
        <v>0</v>
      </c>
    </row>
    <row r="193" spans="1:9" x14ac:dyDescent="0.3">
      <c r="A193" s="41"/>
      <c r="B193" s="41" t="s">
        <v>130</v>
      </c>
      <c r="C193" s="4">
        <v>0</v>
      </c>
      <c r="D193" s="4">
        <v>0</v>
      </c>
      <c r="E193" s="6"/>
      <c r="F193" s="7"/>
      <c r="H193" s="4">
        <v>0</v>
      </c>
      <c r="I193" s="1">
        <f t="shared" si="33"/>
        <v>0</v>
      </c>
    </row>
    <row r="194" spans="1:9" x14ac:dyDescent="0.3">
      <c r="A194" s="41"/>
      <c r="B194" s="41" t="s">
        <v>131</v>
      </c>
      <c r="C194" s="4">
        <v>0</v>
      </c>
      <c r="D194" s="4">
        <v>0</v>
      </c>
      <c r="E194" s="6"/>
      <c r="F194" s="7"/>
      <c r="H194" s="4">
        <v>0</v>
      </c>
      <c r="I194" s="1">
        <f t="shared" si="33"/>
        <v>0</v>
      </c>
    </row>
    <row r="195" spans="1:9" x14ac:dyDescent="0.3">
      <c r="A195" s="41"/>
      <c r="B195" s="41" t="s">
        <v>29</v>
      </c>
      <c r="C195" s="2">
        <f>SUM(C188:C194)</f>
        <v>0</v>
      </c>
      <c r="D195" s="2">
        <f>SUM(D188:D194)</f>
        <v>0</v>
      </c>
      <c r="E195" s="6"/>
      <c r="F195" s="7"/>
      <c r="H195" s="2">
        <f>SUM(H188:H194)</f>
        <v>0</v>
      </c>
      <c r="I195" s="2">
        <f>SUM(I188:I194)</f>
        <v>0</v>
      </c>
    </row>
    <row r="196" spans="1:9" x14ac:dyDescent="0.3">
      <c r="A196" s="41"/>
      <c r="B196" s="41" t="s">
        <v>132</v>
      </c>
      <c r="C196" s="4">
        <v>0</v>
      </c>
      <c r="D196" s="4">
        <v>0</v>
      </c>
      <c r="E196" s="6"/>
      <c r="F196" s="7"/>
      <c r="H196" s="4">
        <v>0</v>
      </c>
      <c r="I196" s="1">
        <f>H196-C196</f>
        <v>0</v>
      </c>
    </row>
    <row r="197" spans="1:9" x14ac:dyDescent="0.3">
      <c r="A197" s="41"/>
      <c r="B197" s="41" t="s">
        <v>133</v>
      </c>
      <c r="C197" s="4">
        <v>0</v>
      </c>
      <c r="D197" s="4">
        <v>0</v>
      </c>
      <c r="E197" s="6"/>
      <c r="F197" s="7"/>
      <c r="H197" s="4">
        <v>0</v>
      </c>
      <c r="I197" s="1">
        <f t="shared" ref="I197:I202" si="34">H197-C197</f>
        <v>0</v>
      </c>
    </row>
    <row r="198" spans="1:9" x14ac:dyDescent="0.3">
      <c r="A198" s="41"/>
      <c r="B198" s="41" t="s">
        <v>134</v>
      </c>
      <c r="C198" s="4">
        <v>0</v>
      </c>
      <c r="D198" s="4">
        <v>0</v>
      </c>
      <c r="E198" s="6"/>
      <c r="F198" s="7"/>
      <c r="H198" s="4">
        <v>0</v>
      </c>
      <c r="I198" s="1">
        <f t="shared" si="34"/>
        <v>0</v>
      </c>
    </row>
    <row r="199" spans="1:9" x14ac:dyDescent="0.3">
      <c r="A199" s="41"/>
      <c r="B199" s="41" t="s">
        <v>135</v>
      </c>
      <c r="C199" s="4">
        <v>0</v>
      </c>
      <c r="D199" s="4">
        <v>0</v>
      </c>
      <c r="E199" s="6"/>
      <c r="F199" s="7"/>
      <c r="H199" s="4">
        <v>0</v>
      </c>
      <c r="I199" s="1">
        <f t="shared" si="34"/>
        <v>0</v>
      </c>
    </row>
    <row r="200" spans="1:9" x14ac:dyDescent="0.3">
      <c r="A200" s="41"/>
      <c r="B200" s="41" t="s">
        <v>136</v>
      </c>
      <c r="C200" s="4">
        <v>0</v>
      </c>
      <c r="D200" s="4">
        <v>0</v>
      </c>
      <c r="E200" s="6"/>
      <c r="F200" s="7"/>
      <c r="H200" s="4">
        <v>0</v>
      </c>
      <c r="I200" s="1">
        <f t="shared" si="34"/>
        <v>0</v>
      </c>
    </row>
    <row r="201" spans="1:9" x14ac:dyDescent="0.3">
      <c r="A201" s="41"/>
      <c r="B201" s="41" t="s">
        <v>137</v>
      </c>
      <c r="C201" s="4">
        <v>0</v>
      </c>
      <c r="D201" s="4">
        <v>0</v>
      </c>
      <c r="E201" s="6"/>
      <c r="F201" s="7"/>
      <c r="H201" s="4">
        <v>0</v>
      </c>
      <c r="I201" s="1">
        <f t="shared" si="34"/>
        <v>0</v>
      </c>
    </row>
    <row r="202" spans="1:9" x14ac:dyDescent="0.3">
      <c r="A202" s="41"/>
      <c r="B202" s="41" t="s">
        <v>138</v>
      </c>
      <c r="C202" s="4">
        <v>0</v>
      </c>
      <c r="D202" s="4">
        <v>0</v>
      </c>
      <c r="E202" s="6"/>
      <c r="F202" s="7"/>
      <c r="H202" s="4">
        <v>0</v>
      </c>
      <c r="I202" s="1">
        <f t="shared" si="34"/>
        <v>0</v>
      </c>
    </row>
    <row r="203" spans="1:9" x14ac:dyDescent="0.3">
      <c r="A203" s="41"/>
      <c r="B203" s="41" t="s">
        <v>29</v>
      </c>
      <c r="C203" s="2">
        <f>SUM(C196:C202)</f>
        <v>0</v>
      </c>
      <c r="D203" s="2">
        <f>SUM(D196:D202)</f>
        <v>0</v>
      </c>
      <c r="E203" s="6"/>
      <c r="F203" s="7"/>
      <c r="H203" s="2">
        <f>SUM(H196:H202)</f>
        <v>0</v>
      </c>
      <c r="I203" s="2">
        <f>SUM(I196:I202)</f>
        <v>0</v>
      </c>
    </row>
    <row r="204" spans="1:9" x14ac:dyDescent="0.3">
      <c r="A204" s="41"/>
      <c r="B204" s="41" t="s">
        <v>139</v>
      </c>
      <c r="C204" s="4">
        <v>0</v>
      </c>
      <c r="D204" s="4">
        <v>0</v>
      </c>
      <c r="E204" s="6"/>
      <c r="F204" s="7"/>
      <c r="H204" s="4">
        <v>0</v>
      </c>
      <c r="I204" s="1">
        <f>H204-C204</f>
        <v>0</v>
      </c>
    </row>
    <row r="205" spans="1:9" x14ac:dyDescent="0.3">
      <c r="A205" s="41"/>
      <c r="B205" s="41" t="s">
        <v>140</v>
      </c>
      <c r="C205" s="4">
        <v>0</v>
      </c>
      <c r="D205" s="4">
        <v>0</v>
      </c>
      <c r="E205" s="6"/>
      <c r="F205" s="7"/>
      <c r="H205" s="4">
        <v>0</v>
      </c>
      <c r="I205" s="1">
        <f t="shared" ref="I205:I210" si="35">H205-C205</f>
        <v>0</v>
      </c>
    </row>
    <row r="206" spans="1:9" x14ac:dyDescent="0.3">
      <c r="A206" s="41"/>
      <c r="B206" s="41" t="s">
        <v>141</v>
      </c>
      <c r="C206" s="4">
        <v>0</v>
      </c>
      <c r="D206" s="4">
        <v>0</v>
      </c>
      <c r="E206" s="6"/>
      <c r="F206" s="7"/>
      <c r="H206" s="4">
        <v>0</v>
      </c>
      <c r="I206" s="1">
        <f t="shared" si="35"/>
        <v>0</v>
      </c>
    </row>
    <row r="207" spans="1:9" x14ac:dyDescent="0.3">
      <c r="A207" s="41"/>
      <c r="B207" s="41" t="s">
        <v>142</v>
      </c>
      <c r="C207" s="4">
        <v>0</v>
      </c>
      <c r="D207" s="4">
        <v>0</v>
      </c>
      <c r="E207" s="6"/>
      <c r="F207" s="7"/>
      <c r="H207" s="4">
        <v>0</v>
      </c>
      <c r="I207" s="1">
        <f t="shared" si="35"/>
        <v>0</v>
      </c>
    </row>
    <row r="208" spans="1:9" x14ac:dyDescent="0.3">
      <c r="A208" s="41"/>
      <c r="B208" s="41" t="s">
        <v>143</v>
      </c>
      <c r="C208" s="4">
        <v>0</v>
      </c>
      <c r="D208" s="4">
        <v>0</v>
      </c>
      <c r="E208" s="6"/>
      <c r="F208" s="7"/>
      <c r="H208" s="4">
        <v>0</v>
      </c>
      <c r="I208" s="1">
        <f t="shared" si="35"/>
        <v>0</v>
      </c>
    </row>
    <row r="209" spans="1:9" x14ac:dyDescent="0.3">
      <c r="A209" s="41"/>
      <c r="B209" s="41" t="s">
        <v>144</v>
      </c>
      <c r="C209" s="4">
        <v>0</v>
      </c>
      <c r="D209" s="4">
        <v>0</v>
      </c>
      <c r="E209" s="6"/>
      <c r="F209" s="7"/>
      <c r="H209" s="4">
        <v>0</v>
      </c>
      <c r="I209" s="1">
        <f t="shared" si="35"/>
        <v>0</v>
      </c>
    </row>
    <row r="210" spans="1:9" x14ac:dyDescent="0.3">
      <c r="A210" s="41"/>
      <c r="B210" s="41" t="s">
        <v>145</v>
      </c>
      <c r="C210" s="4"/>
      <c r="D210" s="4">
        <v>0</v>
      </c>
      <c r="E210" s="6"/>
      <c r="F210" s="7"/>
      <c r="H210" s="4">
        <v>0</v>
      </c>
      <c r="I210" s="1">
        <f t="shared" si="35"/>
        <v>0</v>
      </c>
    </row>
    <row r="211" spans="1:9" x14ac:dyDescent="0.3">
      <c r="A211" s="41"/>
      <c r="B211" s="41" t="s">
        <v>11</v>
      </c>
      <c r="C211" s="2">
        <f>SUM(C204:C210)</f>
        <v>0</v>
      </c>
      <c r="D211" s="2">
        <f>SUM(D204:D210)</f>
        <v>0</v>
      </c>
      <c r="E211" s="6"/>
      <c r="F211" s="7"/>
      <c r="H211" s="2">
        <f t="shared" ref="H211:I211" si="36">SUM(H204:H210)</f>
        <v>0</v>
      </c>
      <c r="I211" s="2">
        <f t="shared" si="36"/>
        <v>0</v>
      </c>
    </row>
    <row r="212" spans="1:9" x14ac:dyDescent="0.3">
      <c r="A212" s="41"/>
      <c r="B212" s="41" t="s">
        <v>12</v>
      </c>
      <c r="C212" s="3">
        <f>SUM(C211+C203+C195+C187)</f>
        <v>0</v>
      </c>
      <c r="D212" s="3">
        <f>SUM(D211+D203+D195+D187)</f>
        <v>0</v>
      </c>
      <c r="E212" s="6"/>
      <c r="F212" s="7"/>
      <c r="H212" s="3">
        <f t="shared" ref="H212:I212" si="37">SUM(H211+H203+H195+H187)</f>
        <v>0</v>
      </c>
      <c r="I212" s="3">
        <f t="shared" si="37"/>
        <v>0</v>
      </c>
    </row>
    <row r="213" spans="1:9" x14ac:dyDescent="0.3">
      <c r="A213" s="41"/>
      <c r="B213" s="41" t="s">
        <v>13</v>
      </c>
      <c r="C213" s="1">
        <f>D212+C212</f>
        <v>0</v>
      </c>
      <c r="E213" s="24"/>
      <c r="F213" s="25"/>
      <c r="H213" s="1">
        <f t="shared" ref="H213:I213" si="38">I212+H212</f>
        <v>0</v>
      </c>
      <c r="I213" s="1">
        <f t="shared" si="38"/>
        <v>0</v>
      </c>
    </row>
    <row r="214" spans="1:9" x14ac:dyDescent="0.3">
      <c r="A214" s="41"/>
      <c r="B214" s="44" t="s">
        <v>55</v>
      </c>
      <c r="C214" s="45" t="s">
        <v>146</v>
      </c>
      <c r="D214" s="45" t="s">
        <v>14</v>
      </c>
      <c r="E214" s="46"/>
      <c r="F214" s="47" t="s">
        <v>55</v>
      </c>
      <c r="G214" s="41"/>
      <c r="H214" s="41"/>
      <c r="I214" s="41"/>
    </row>
    <row r="215" spans="1:9" x14ac:dyDescent="0.3">
      <c r="A215" s="41"/>
      <c r="B215" s="48" t="s">
        <v>57</v>
      </c>
      <c r="C215" s="49" t="s">
        <v>55</v>
      </c>
      <c r="D215" s="41"/>
      <c r="E215" s="43" t="s">
        <v>55</v>
      </c>
      <c r="F215" s="50" t="s">
        <v>55</v>
      </c>
      <c r="G215" s="41"/>
      <c r="H215" s="41"/>
      <c r="I215" s="41"/>
    </row>
    <row r="216" spans="1:9" x14ac:dyDescent="0.3">
      <c r="A216" s="41"/>
      <c r="B216" s="48" t="s">
        <v>55</v>
      </c>
      <c r="C216" s="41"/>
      <c r="D216" s="41"/>
      <c r="E216" s="41"/>
      <c r="F216" s="51" t="s">
        <v>55</v>
      </c>
      <c r="G216" s="41"/>
      <c r="H216" s="41"/>
      <c r="I216" s="41"/>
    </row>
    <row r="217" spans="1:9" x14ac:dyDescent="0.3">
      <c r="A217" s="41"/>
      <c r="B217" s="48" t="s">
        <v>16</v>
      </c>
      <c r="C217" s="49" t="s">
        <v>55</v>
      </c>
      <c r="D217" s="41"/>
      <c r="E217" s="41"/>
      <c r="F217" s="51" t="s">
        <v>55</v>
      </c>
      <c r="G217" s="41"/>
      <c r="H217" s="41"/>
      <c r="I217" s="41"/>
    </row>
    <row r="218" spans="1:9" x14ac:dyDescent="0.3">
      <c r="A218" s="41"/>
      <c r="B218" s="48" t="s">
        <v>55</v>
      </c>
      <c r="C218" s="41"/>
      <c r="D218" s="41"/>
      <c r="E218" s="41"/>
      <c r="F218" s="51" t="s">
        <v>55</v>
      </c>
      <c r="G218" s="41"/>
      <c r="H218" s="41"/>
      <c r="I218" s="41"/>
    </row>
    <row r="219" spans="1:9" x14ac:dyDescent="0.3">
      <c r="A219" s="41"/>
      <c r="B219" s="48" t="s">
        <v>17</v>
      </c>
      <c r="C219" s="49" t="s">
        <v>55</v>
      </c>
      <c r="D219" s="41"/>
      <c r="E219" s="41"/>
      <c r="F219" s="51" t="s">
        <v>55</v>
      </c>
      <c r="G219" s="41"/>
      <c r="H219" s="41"/>
      <c r="I219" s="41"/>
    </row>
    <row r="220" spans="1:9" x14ac:dyDescent="0.3">
      <c r="A220" s="41"/>
      <c r="B220" s="48" t="s">
        <v>55</v>
      </c>
      <c r="C220" s="41"/>
      <c r="D220" s="41"/>
      <c r="E220" s="41"/>
      <c r="F220" s="51" t="s">
        <v>55</v>
      </c>
      <c r="G220" s="41"/>
      <c r="H220" s="41"/>
      <c r="I220" s="41"/>
    </row>
    <row r="221" spans="1:9" x14ac:dyDescent="0.3">
      <c r="A221" s="41"/>
      <c r="B221" s="52" t="s">
        <v>18</v>
      </c>
      <c r="C221" s="53" t="s">
        <v>55</v>
      </c>
      <c r="D221" s="54" t="s">
        <v>55</v>
      </c>
      <c r="E221" s="54" t="s">
        <v>55</v>
      </c>
      <c r="F221" s="55" t="s">
        <v>55</v>
      </c>
      <c r="G221" s="41"/>
      <c r="H221" s="41"/>
      <c r="I221" s="41"/>
    </row>
    <row r="222" spans="1:9" x14ac:dyDescent="0.3">
      <c r="A222" s="41"/>
      <c r="B222" s="41"/>
      <c r="C222" s="41"/>
      <c r="D222" s="41"/>
      <c r="E222" s="41"/>
      <c r="F222" s="41"/>
      <c r="G222" s="41"/>
      <c r="H222" s="41"/>
      <c r="I222" s="41"/>
    </row>
  </sheetData>
  <pageMargins left="0.2" right="0.2" top="0.25" bottom="0.25" header="0.3" footer="0.3"/>
  <pageSetup scale="77" orientation="landscape" horizontalDpi="1200" verticalDpi="120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71C382-36F4-4905-ACCC-C9635610F7AB}">
  <sheetPr codeName="Sheet25"/>
  <dimension ref="A1:G26"/>
  <sheetViews>
    <sheetView topLeftCell="A33" workbookViewId="0">
      <selection activeCell="C14" sqref="C14"/>
    </sheetView>
  </sheetViews>
  <sheetFormatPr defaultColWidth="8.88671875" defaultRowHeight="14.4" x14ac:dyDescent="0.3"/>
  <cols>
    <col min="1" max="1" width="9.44140625" bestFit="1" customWidth="1"/>
    <col min="2" max="2" width="16.44140625" bestFit="1" customWidth="1"/>
    <col min="7" max="7" width="27.44140625" customWidth="1"/>
  </cols>
  <sheetData>
    <row r="1" spans="1:7" ht="18" x14ac:dyDescent="0.35">
      <c r="A1" s="10" t="s">
        <v>589</v>
      </c>
      <c r="B1" s="11">
        <v>9</v>
      </c>
    </row>
    <row r="2" spans="1:7" ht="5.0999999999999996" customHeight="1" x14ac:dyDescent="0.35">
      <c r="A2" s="10"/>
      <c r="B2" s="13"/>
    </row>
    <row r="3" spans="1:7" ht="18" x14ac:dyDescent="0.35">
      <c r="A3" t="s">
        <v>590</v>
      </c>
      <c r="B3" s="12">
        <v>46243</v>
      </c>
      <c r="E3">
        <v>217</v>
      </c>
      <c r="F3" t="s">
        <v>591</v>
      </c>
      <c r="G3" t="s">
        <v>0</v>
      </c>
    </row>
    <row r="4" spans="1:7" x14ac:dyDescent="0.3">
      <c r="E4">
        <v>225</v>
      </c>
      <c r="F4" t="s">
        <v>592</v>
      </c>
      <c r="G4" t="s">
        <v>147</v>
      </c>
    </row>
    <row r="5" spans="1:7" x14ac:dyDescent="0.3">
      <c r="E5">
        <v>220</v>
      </c>
      <c r="F5" t="s">
        <v>239</v>
      </c>
      <c r="G5" t="s">
        <v>166</v>
      </c>
    </row>
    <row r="6" spans="1:7" x14ac:dyDescent="0.3">
      <c r="E6">
        <v>263</v>
      </c>
      <c r="F6" t="s">
        <v>593</v>
      </c>
      <c r="G6" t="s">
        <v>176</v>
      </c>
    </row>
    <row r="7" spans="1:7" x14ac:dyDescent="0.3">
      <c r="E7">
        <v>244</v>
      </c>
      <c r="F7" t="s">
        <v>594</v>
      </c>
      <c r="G7" t="s">
        <v>199</v>
      </c>
    </row>
    <row r="8" spans="1:7" x14ac:dyDescent="0.3">
      <c r="E8">
        <v>262</v>
      </c>
      <c r="F8" t="s">
        <v>595</v>
      </c>
      <c r="G8" t="s">
        <v>214</v>
      </c>
    </row>
    <row r="9" spans="1:7" x14ac:dyDescent="0.3">
      <c r="E9">
        <v>219</v>
      </c>
      <c r="F9" t="s">
        <v>596</v>
      </c>
      <c r="G9" t="s">
        <v>232</v>
      </c>
    </row>
    <row r="10" spans="1:7" x14ac:dyDescent="0.3">
      <c r="E10">
        <v>269</v>
      </c>
      <c r="F10" t="s">
        <v>597</v>
      </c>
      <c r="G10" t="s">
        <v>220</v>
      </c>
    </row>
    <row r="11" spans="1:7" x14ac:dyDescent="0.3">
      <c r="E11">
        <v>264</v>
      </c>
      <c r="F11" t="s">
        <v>598</v>
      </c>
      <c r="G11" t="s">
        <v>247</v>
      </c>
    </row>
    <row r="12" spans="1:7" x14ac:dyDescent="0.3">
      <c r="E12">
        <v>250</v>
      </c>
      <c r="F12" t="s">
        <v>599</v>
      </c>
      <c r="G12" t="s">
        <v>280</v>
      </c>
    </row>
    <row r="13" spans="1:7" x14ac:dyDescent="0.3">
      <c r="E13">
        <v>215</v>
      </c>
      <c r="F13" t="s">
        <v>600</v>
      </c>
      <c r="G13" t="s">
        <v>297</v>
      </c>
    </row>
    <row r="14" spans="1:7" x14ac:dyDescent="0.3">
      <c r="E14">
        <v>272</v>
      </c>
      <c r="F14" t="s">
        <v>349</v>
      </c>
      <c r="G14" t="s">
        <v>314</v>
      </c>
    </row>
    <row r="15" spans="1:7" x14ac:dyDescent="0.3">
      <c r="E15">
        <v>270</v>
      </c>
      <c r="F15" t="s">
        <v>601</v>
      </c>
      <c r="G15" t="s">
        <v>347</v>
      </c>
    </row>
    <row r="16" spans="1:7" x14ac:dyDescent="0.3">
      <c r="E16">
        <v>218</v>
      </c>
      <c r="F16" t="s">
        <v>602</v>
      </c>
      <c r="G16" t="s">
        <v>372</v>
      </c>
    </row>
    <row r="17" spans="5:7" x14ac:dyDescent="0.3">
      <c r="E17">
        <v>261</v>
      </c>
      <c r="F17" t="s">
        <v>603</v>
      </c>
      <c r="G17" t="s">
        <v>389</v>
      </c>
    </row>
    <row r="18" spans="5:7" x14ac:dyDescent="0.3">
      <c r="E18">
        <v>265</v>
      </c>
      <c r="F18" t="s">
        <v>604</v>
      </c>
      <c r="G18" t="s">
        <v>407</v>
      </c>
    </row>
    <row r="19" spans="5:7" x14ac:dyDescent="0.3">
      <c r="E19">
        <v>245</v>
      </c>
      <c r="F19" t="s">
        <v>605</v>
      </c>
      <c r="G19" t="s">
        <v>447</v>
      </c>
    </row>
    <row r="20" spans="5:7" x14ac:dyDescent="0.3">
      <c r="E20">
        <v>243</v>
      </c>
      <c r="F20" t="s">
        <v>606</v>
      </c>
      <c r="G20" t="s">
        <v>457</v>
      </c>
    </row>
    <row r="21" spans="5:7" x14ac:dyDescent="0.3">
      <c r="E21">
        <v>211</v>
      </c>
      <c r="F21" t="s">
        <v>607</v>
      </c>
      <c r="G21" t="s">
        <v>474</v>
      </c>
    </row>
    <row r="22" spans="5:7" x14ac:dyDescent="0.3">
      <c r="E22">
        <v>223</v>
      </c>
      <c r="F22" t="s">
        <v>465</v>
      </c>
      <c r="G22" t="s">
        <v>486</v>
      </c>
    </row>
    <row r="23" spans="5:7" x14ac:dyDescent="0.3">
      <c r="E23">
        <v>213</v>
      </c>
      <c r="F23" t="s">
        <v>608</v>
      </c>
      <c r="G23" t="s">
        <v>510</v>
      </c>
    </row>
    <row r="24" spans="5:7" x14ac:dyDescent="0.3">
      <c r="E24">
        <v>242</v>
      </c>
      <c r="F24" t="s">
        <v>609</v>
      </c>
      <c r="G24" t="s">
        <v>520</v>
      </c>
    </row>
    <row r="25" spans="5:7" x14ac:dyDescent="0.3">
      <c r="E25">
        <v>224</v>
      </c>
      <c r="F25" t="s">
        <v>610</v>
      </c>
      <c r="G25" t="s">
        <v>535</v>
      </c>
    </row>
    <row r="26" spans="5:7" x14ac:dyDescent="0.3">
      <c r="E26">
        <v>222</v>
      </c>
      <c r="F26" t="s">
        <v>611</v>
      </c>
      <c r="G26" t="s">
        <v>562</v>
      </c>
    </row>
  </sheetData>
  <sortState xmlns:xlrd2="http://schemas.microsoft.com/office/spreadsheetml/2017/richdata2" ref="E3:G26">
    <sortCondition ref="F3:F26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213FF982692A145857EFEDB58B86FDC" ma:contentTypeVersion="11" ma:contentTypeDescription="Create a new document." ma:contentTypeScope="" ma:versionID="14595a14ad5d746bfeaf503b9fd63adb">
  <xsd:schema xmlns:xsd="http://www.w3.org/2001/XMLSchema" xmlns:xs="http://www.w3.org/2001/XMLSchema" xmlns:p="http://schemas.microsoft.com/office/2006/metadata/properties" xmlns:ns2="e89296c7-c6fa-463a-b6b1-3a832ce38680" xmlns:ns3="2b0e7abb-71fa-42da-9f51-664761cd8323" targetNamespace="http://schemas.microsoft.com/office/2006/metadata/properties" ma:root="true" ma:fieldsID="a80522c57eeda920a78202c1e72b42db" ns2:_="" ns3:_="">
    <xsd:import namespace="e89296c7-c6fa-463a-b6b1-3a832ce38680"/>
    <xsd:import namespace="2b0e7abb-71fa-42da-9f51-664761cd832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9296c7-c6fa-463a-b6b1-3a832ce386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d8eb9a2-c0ad-4a38-b8af-927be22d32c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0e7abb-71fa-42da-9f51-664761cd8323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f5ece7e-e738-4d1d-99e0-32c7d60b9ba4}" ma:internalName="TaxCatchAll" ma:showField="CatchAllData" ma:web="2b0e7abb-71fa-42da-9f51-664761cd83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0e7abb-71fa-42da-9f51-664761cd8323" xsi:nil="true"/>
    <lcf76f155ced4ddcb4097134ff3c332f xmlns="e89296c7-c6fa-463a-b6b1-3a832ce3868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05E2E9-81AE-408C-AEC1-CDDF04E73D4E}"/>
</file>

<file path=customXml/itemProps2.xml><?xml version="1.0" encoding="utf-8"?>
<ds:datastoreItem xmlns:ds="http://schemas.openxmlformats.org/officeDocument/2006/customXml" ds:itemID="{FC268E03-3FD7-4BEA-9E52-C09FB6ACFB85}"/>
</file>

<file path=customXml/itemProps3.xml><?xml version="1.0" encoding="utf-8"?>
<ds:datastoreItem xmlns:ds="http://schemas.openxmlformats.org/officeDocument/2006/customXml" ds:itemID="{F1063BE7-B03F-4758-85F0-3488D85DD8E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25</vt:i4>
      </vt:variant>
      <vt:variant>
        <vt:lpstr>Named Ranges</vt:lpstr>
      </vt:variant>
      <vt:variant>
        <vt:i4>24</vt:i4>
      </vt:variant>
    </vt:vector>
  </HeadingPairs>
  <TitlesOfParts>
    <vt:vector size="49" baseType="lpstr">
      <vt:lpstr>AN</vt:lpstr>
      <vt:lpstr>CL</vt:lpstr>
      <vt:lpstr>CM</vt:lpstr>
      <vt:lpstr>CR</vt:lpstr>
      <vt:lpstr>DN</vt:lpstr>
      <vt:lpstr>EM</vt:lpstr>
      <vt:lpstr>HW</vt:lpstr>
      <vt:lpstr>HB</vt:lpstr>
      <vt:lpstr>IG</vt:lpstr>
      <vt:lpstr>LC</vt:lpstr>
      <vt:lpstr>LK</vt:lpstr>
      <vt:lpstr>LV</vt:lpstr>
      <vt:lpstr>ON</vt:lpstr>
      <vt:lpstr>OR</vt:lpstr>
      <vt:lpstr>PR</vt:lpstr>
      <vt:lpstr>RL</vt:lpstr>
      <vt:lpstr>RV</vt:lpstr>
      <vt:lpstr>SA</vt:lpstr>
      <vt:lpstr>SL</vt:lpstr>
      <vt:lpstr>ST</vt:lpstr>
      <vt:lpstr>TO</vt:lpstr>
      <vt:lpstr>VN</vt:lpstr>
      <vt:lpstr>WC</vt:lpstr>
      <vt:lpstr>WH</vt:lpstr>
      <vt:lpstr>Control</vt:lpstr>
      <vt:lpstr>AN!Print_Area</vt:lpstr>
      <vt:lpstr>CL!Print_Area</vt:lpstr>
      <vt:lpstr>CM!Print_Area</vt:lpstr>
      <vt:lpstr>CR!Print_Area</vt:lpstr>
      <vt:lpstr>DN!Print_Area</vt:lpstr>
      <vt:lpstr>EM!Print_Area</vt:lpstr>
      <vt:lpstr>HB!Print_Area</vt:lpstr>
      <vt:lpstr>HW!Print_Area</vt:lpstr>
      <vt:lpstr>IG!Print_Area</vt:lpstr>
      <vt:lpstr>LC!Print_Area</vt:lpstr>
      <vt:lpstr>LK!Print_Area</vt:lpstr>
      <vt:lpstr>LV!Print_Area</vt:lpstr>
      <vt:lpstr>ON!Print_Area</vt:lpstr>
      <vt:lpstr>OR!Print_Area</vt:lpstr>
      <vt:lpstr>PR!Print_Area</vt:lpstr>
      <vt:lpstr>RL!Print_Area</vt:lpstr>
      <vt:lpstr>RV!Print_Area</vt:lpstr>
      <vt:lpstr>SA!Print_Area</vt:lpstr>
      <vt:lpstr>SL!Print_Area</vt:lpstr>
      <vt:lpstr>ST!Print_Area</vt:lpstr>
      <vt:lpstr>TO!Print_Area</vt:lpstr>
      <vt:lpstr>VN!Print_Area</vt:lpstr>
      <vt:lpstr>WC!Print_Area</vt:lpstr>
      <vt:lpstr>WH!Print_Area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Rogers</dc:creator>
  <cp:keywords/>
  <dc:description/>
  <cp:lastModifiedBy>Regina Leong</cp:lastModifiedBy>
  <cp:revision/>
  <dcterms:created xsi:type="dcterms:W3CDTF">2026-08-04T15:46:34Z</dcterms:created>
  <dcterms:modified xsi:type="dcterms:W3CDTF">2026-10-13T14:48:16Z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0x0101006213FF982692A145857EFEDB58B86FDC</vt:lpwstr>
  </property>
</Properties>
</file>