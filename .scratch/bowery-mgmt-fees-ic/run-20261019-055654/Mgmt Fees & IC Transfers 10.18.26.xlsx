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usin\Downloads\"/>
    </mc:Choice>
  </mc:AlternateContent>
  <xr:revisionPtr revIDLastSave="0" documentId="13_ncr:1_{E08DB329-595C-4D89-AAAE-0BE8B382B6A8}" xr6:coauthVersionLast="47" xr6:coauthVersionMax="47" xr10:uidLastSave="{00000000-0000-0000-0000-000000000000}"/>
  <bookViews>
    <workbookView xWindow="12105" yWindow="630" windowWidth="28215" windowHeight="20565" activeTab="1" xr2:uid="{6FEDC07B-8B87-4C34-A543-3955FF2C815F}"/>
  </bookViews>
  <sheets>
    <sheet name="Mgmt Fee Funding" sheetId="1" r:id="rId1"/>
    <sheet name="Intercompany" sheetId="2" r:id="rId2"/>
  </sheets>
  <definedNames>
    <definedName name="BOHDATA">#REF!</definedName>
    <definedName name="Coco">#N/A</definedName>
    <definedName name="FOHDATA">#N/A</definedName>
    <definedName name="FOHFDATA">#REF!</definedName>
    <definedName name="FOHVDATA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'Mgmt Fee Funding'!$C$2:$F$29</definedName>
    <definedName name="_xlnm.Print_Area">#N/A</definedName>
    <definedName name="_xlnm.Print_Titles" localSheetId="0">'Mgmt Fee Funding'!$5:$5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2" l="1"/>
  <c r="D21" i="2"/>
  <c r="D22" i="2"/>
  <c r="D23" i="2"/>
</calcChain>
</file>

<file path=xl/sharedStrings.xml><?xml version="1.0" encoding="utf-8"?>
<sst xmlns="http://schemas.openxmlformats.org/spreadsheetml/2006/main" count="100" uniqueCount="52">
  <si>
    <t>Bowery Group Corp</t>
  </si>
  <si>
    <t>Weekly Management Fee Funding</t>
  </si>
  <si>
    <t>Week Ending</t>
  </si>
  <si>
    <t>Fees to Allocate</t>
  </si>
  <si>
    <t>Restaurant</t>
  </si>
  <si>
    <t>Sales</t>
  </si>
  <si>
    <t>% of Total</t>
  </si>
  <si>
    <t>Mgmt Fees</t>
  </si>
  <si>
    <t>% of Sales</t>
  </si>
  <si>
    <t>Cookshop</t>
  </si>
  <si>
    <t>Shuka</t>
  </si>
  <si>
    <t>Vic's</t>
  </si>
  <si>
    <t>Rosie's</t>
  </si>
  <si>
    <t>Shukette</t>
  </si>
  <si>
    <t>Total</t>
  </si>
  <si>
    <t>Rosies</t>
  </si>
  <si>
    <t>Salary</t>
  </si>
  <si>
    <t>with T&amp;B</t>
  </si>
  <si>
    <t>Jose</t>
  </si>
  <si>
    <t>Michael P</t>
  </si>
  <si>
    <t>Madeline</t>
  </si>
  <si>
    <t>Debit</t>
  </si>
  <si>
    <t>Credit</t>
  </si>
  <si>
    <t>660-00</t>
  </si>
  <si>
    <t>402-00</t>
  </si>
  <si>
    <t>Bowery Group</t>
  </si>
  <si>
    <t>Bowery</t>
  </si>
  <si>
    <t>Fox Rothschild</t>
  </si>
  <si>
    <t>Foxglove</t>
  </si>
  <si>
    <t>Funding Includes</t>
  </si>
  <si>
    <t>Amount</t>
  </si>
  <si>
    <t>To</t>
  </si>
  <si>
    <t>Cash Transfers to Make</t>
  </si>
  <si>
    <r>
      <rPr>
        <sz val="7"/>
        <color rgb="FF000000"/>
        <rFont val="Arial"/>
        <family val="2"/>
      </rPr>
      <t>Total Intercompany</t>
    </r>
  </si>
  <si>
    <t/>
  </si>
  <si>
    <r>
      <rPr>
        <sz val="7"/>
        <color rgb="FF000000"/>
        <rFont val="Arial"/>
        <family val="2"/>
      </rPr>
      <t>Exchange - Bowery Group</t>
    </r>
  </si>
  <si>
    <r>
      <rPr>
        <sz val="7"/>
        <color rgb="FF000000"/>
        <rFont val="Arial"/>
        <family val="2"/>
      </rPr>
      <t>Exchange - Vic's</t>
    </r>
  </si>
  <si>
    <r>
      <rPr>
        <sz val="7"/>
        <color rgb="FF000000"/>
        <rFont val="Arial"/>
        <family val="2"/>
      </rPr>
      <t>Exchange - Shukette</t>
    </r>
  </si>
  <si>
    <r>
      <rPr>
        <sz val="7"/>
        <color rgb="FF000000"/>
        <rFont val="Arial"/>
        <family val="2"/>
      </rPr>
      <t>Exchange - Rosie's</t>
    </r>
  </si>
  <si>
    <r>
      <rPr>
        <sz val="7"/>
        <color rgb="FF000000"/>
        <rFont val="Arial"/>
        <family val="2"/>
      </rPr>
      <t>Exchange - Shuka</t>
    </r>
  </si>
  <si>
    <r>
      <rPr>
        <sz val="7"/>
        <color rgb="FF000000"/>
        <rFont val="Arial"/>
        <family val="2"/>
      </rPr>
      <t>Exchange - Cookshop</t>
    </r>
  </si>
  <si>
    <r>
      <rPr>
        <b/>
        <sz val="7"/>
        <color rgb="FF000000"/>
        <rFont val="Arial"/>
        <family val="2"/>
      </rPr>
      <t>Intercompany</t>
    </r>
  </si>
  <si>
    <t>700 - Vic’s</t>
  </si>
  <si>
    <t>600 - Shukette</t>
  </si>
  <si>
    <t>400 - Shuka</t>
  </si>
  <si>
    <t>500 - Rosie’s</t>
  </si>
  <si>
    <t>200 - Cookshop</t>
  </si>
  <si>
    <t>800 - Bowery Group Corp</t>
  </si>
  <si>
    <r>
      <rPr>
        <b/>
        <sz val="8"/>
        <color rgb="FFFF0000"/>
        <rFont val="Arial"/>
        <family val="2"/>
      </rPr>
      <t xml:space="preserve">     
</t>
    </r>
    <r>
      <rPr>
        <b/>
        <sz val="8"/>
        <color rgb="FFFF0000"/>
        <rFont val="Arial"/>
        <family val="2"/>
      </rPr>
      <t xml:space="preserve">                                                               </t>
    </r>
  </si>
  <si>
    <t>As of 10/11/2026</t>
  </si>
  <si>
    <t>Balance Sheet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</si>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</sst>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10409]#,##0;\-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u/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b/>
      <sz val="7"/>
      <color rgb="FF696969"/>
      <name val="Arial"/>
      <family val="2"/>
    </font>
    <font>
      <sz val="8"/>
      <color rgb="FF000000"/>
      <name val="Arial"/>
      <family val="2"/>
    </font>
    <font>
      <b/>
      <sz val="8"/>
      <color rgb="FFFF0000"/>
      <name val="Arial"/>
      <family val="2"/>
    </font>
    <font>
      <b/>
      <sz val="10"/>
      <color rgb="FF696969"/>
      <name val="Arial"/>
      <family val="2"/>
    </font>
    <font>
      <b/>
      <sz val="20"/>
      <color rgb="FF69696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B9D7FC"/>
        <bgColor rgb="FFB9D7FC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rgb="FF696969"/>
      </top>
      <bottom/>
      <diagonal/>
    </border>
    <border>
      <left/>
      <right/>
      <top style="thin">
        <color rgb="FFFFFFFF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6" fillId="0" borderId="0"/>
    <xf numFmtId="44" fontId="6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3" applyFont="1"/>
    <xf numFmtId="0" fontId="2" fillId="0" borderId="0" xfId="3"/>
    <xf numFmtId="14" fontId="3" fillId="2" borderId="1" xfId="3" applyNumberFormat="1" applyFont="1" applyFill="1" applyBorder="1" applyAlignment="1" applyProtection="1">
      <alignment horizontal="center"/>
      <protection locked="0"/>
    </xf>
    <xf numFmtId="14" fontId="4" fillId="0" borderId="0" xfId="3" applyNumberFormat="1" applyFont="1"/>
    <xf numFmtId="44" fontId="3" fillId="2" borderId="2" xfId="1" applyFont="1" applyFill="1" applyBorder="1" applyAlignment="1" applyProtection="1">
      <alignment horizontal="center"/>
      <protection locked="0"/>
    </xf>
    <xf numFmtId="44" fontId="2" fillId="0" borderId="0" xfId="3" applyNumberFormat="1"/>
    <xf numFmtId="0" fontId="3" fillId="0" borderId="0" xfId="3" applyFont="1" applyAlignment="1">
      <alignment horizontal="center"/>
    </xf>
    <xf numFmtId="0" fontId="5" fillId="0" borderId="0" xfId="3" applyFont="1" applyAlignment="1">
      <alignment horizontal="center"/>
    </xf>
    <xf numFmtId="0" fontId="2" fillId="0" borderId="1" xfId="3" applyBorder="1"/>
    <xf numFmtId="0" fontId="2" fillId="0" borderId="0" xfId="3" applyAlignment="1">
      <alignment horizontal="center"/>
    </xf>
    <xf numFmtId="0" fontId="3" fillId="0" borderId="3" xfId="3" applyFont="1" applyBorder="1" applyAlignment="1">
      <alignment horizontal="center"/>
    </xf>
    <xf numFmtId="0" fontId="3" fillId="0" borderId="3" xfId="3" applyFont="1" applyBorder="1"/>
    <xf numFmtId="6" fontId="2" fillId="0" borderId="0" xfId="3" applyNumberFormat="1" applyAlignment="1">
      <alignment horizontal="center"/>
    </xf>
    <xf numFmtId="10" fontId="2" fillId="0" borderId="0" xfId="2" applyNumberFormat="1" applyFont="1" applyAlignment="1">
      <alignment horizontal="center"/>
    </xf>
    <xf numFmtId="44" fontId="3" fillId="0" borderId="3" xfId="3" applyNumberFormat="1" applyFont="1" applyBorder="1"/>
    <xf numFmtId="6" fontId="2" fillId="0" borderId="0" xfId="3" applyNumberFormat="1"/>
    <xf numFmtId="44" fontId="2" fillId="0" borderId="0" xfId="1" applyFont="1"/>
    <xf numFmtId="10" fontId="2" fillId="0" borderId="0" xfId="2" applyNumberFormat="1" applyFont="1"/>
    <xf numFmtId="42" fontId="2" fillId="0" borderId="0" xfId="3" applyNumberFormat="1"/>
    <xf numFmtId="6" fontId="3" fillId="0" borderId="0" xfId="3" applyNumberFormat="1" applyFont="1" applyAlignment="1">
      <alignment horizontal="center"/>
    </xf>
    <xf numFmtId="8" fontId="3" fillId="0" borderId="3" xfId="3" applyNumberFormat="1" applyFont="1" applyBorder="1" applyAlignment="1">
      <alignment horizontal="center"/>
    </xf>
    <xf numFmtId="10" fontId="3" fillId="0" borderId="0" xfId="2" applyNumberFormat="1" applyFont="1" applyAlignment="1">
      <alignment horizontal="center"/>
    </xf>
    <xf numFmtId="8" fontId="2" fillId="0" borderId="0" xfId="3" applyNumberFormat="1"/>
    <xf numFmtId="42" fontId="3" fillId="0" borderId="0" xfId="3" applyNumberFormat="1" applyFont="1"/>
    <xf numFmtId="0" fontId="2" fillId="0" borderId="2" xfId="3" applyBorder="1"/>
    <xf numFmtId="44" fontId="2" fillId="0" borderId="0" xfId="1" applyFont="1" applyFill="1"/>
    <xf numFmtId="44" fontId="2" fillId="0" borderId="0" xfId="3" applyNumberFormat="1" applyAlignment="1">
      <alignment horizontal="center"/>
    </xf>
    <xf numFmtId="0" fontId="7" fillId="0" borderId="0" xfId="4" applyFont="1"/>
    <xf numFmtId="0" fontId="7" fillId="0" borderId="4" xfId="4" applyFont="1" applyBorder="1"/>
    <xf numFmtId="0" fontId="7" fillId="0" borderId="5" xfId="4" applyFont="1" applyBorder="1"/>
    <xf numFmtId="44" fontId="7" fillId="0" borderId="5" xfId="5" applyFont="1" applyBorder="1"/>
    <xf numFmtId="0" fontId="7" fillId="0" borderId="6" xfId="4" applyFont="1" applyBorder="1"/>
    <xf numFmtId="0" fontId="7" fillId="0" borderId="7" xfId="4" applyFont="1" applyBorder="1"/>
    <xf numFmtId="44" fontId="7" fillId="0" borderId="0" xfId="5" applyFont="1" applyFill="1" applyBorder="1"/>
    <xf numFmtId="0" fontId="7" fillId="0" borderId="8" xfId="4" applyFont="1" applyBorder="1"/>
    <xf numFmtId="44" fontId="7" fillId="0" borderId="0" xfId="5" applyFont="1"/>
    <xf numFmtId="0" fontId="7" fillId="0" borderId="9" xfId="4" applyFont="1" applyBorder="1"/>
    <xf numFmtId="0" fontId="7" fillId="0" borderId="10" xfId="4" applyFont="1" applyBorder="1"/>
    <xf numFmtId="0" fontId="7" fillId="0" borderId="11" xfId="4" applyFont="1" applyBorder="1"/>
    <xf numFmtId="164" fontId="8" fillId="0" borderId="12" xfId="4" applyNumberFormat="1" applyFont="1" applyBorder="1" applyAlignment="1">
      <alignment horizontal="right" vertical="top" wrapText="1" readingOrder="1"/>
    </xf>
    <xf numFmtId="0" fontId="8" fillId="3" borderId="0" xfId="4" applyFont="1" applyFill="1" applyAlignment="1">
      <alignment vertical="top" wrapText="1" indent="3" readingOrder="1"/>
    </xf>
    <xf numFmtId="44" fontId="8" fillId="0" borderId="13" xfId="5" applyFont="1" applyBorder="1" applyAlignment="1">
      <alignment horizontal="right" vertical="top" wrapText="1" readingOrder="1"/>
    </xf>
    <xf numFmtId="0" fontId="8" fillId="3" borderId="0" xfId="4" applyFont="1" applyFill="1" applyAlignment="1">
      <alignment vertical="top" wrapText="1" indent="4" readingOrder="1"/>
    </xf>
    <xf numFmtId="44" fontId="8" fillId="4" borderId="13" xfId="5" applyFont="1" applyFill="1" applyBorder="1" applyAlignment="1">
      <alignment horizontal="right" vertical="top" wrapText="1" readingOrder="1"/>
    </xf>
    <xf numFmtId="44" fontId="9" fillId="0" borderId="13" xfId="5" applyFont="1" applyBorder="1" applyAlignment="1">
      <alignment horizontal="right" vertical="top" wrapText="1" readingOrder="1"/>
    </xf>
    <xf numFmtId="0" fontId="9" fillId="3" borderId="0" xfId="4" applyFont="1" applyFill="1" applyAlignment="1">
      <alignment vertical="top" wrapText="1" indent="3" readingOrder="1"/>
    </xf>
    <xf numFmtId="0" fontId="10" fillId="5" borderId="0" xfId="4" applyFont="1" applyFill="1" applyAlignment="1">
      <alignment horizontal="center" vertical="top" wrapText="1" readingOrder="1"/>
    </xf>
    <xf numFmtId="0" fontId="11" fillId="3" borderId="0" xfId="4" applyFont="1" applyFill="1" applyAlignment="1">
      <alignment vertical="top" wrapText="1" readingOrder="1"/>
    </xf>
    <xf numFmtId="44" fontId="7" fillId="0" borderId="0" xfId="4" applyNumberFormat="1" applyFont="1"/>
    <xf numFmtId="0" fontId="14" fillId="0" borderId="0" xfId="4" applyFont="1" applyAlignment="1">
      <alignment horizontal="center" vertical="top" wrapText="1" readingOrder="1"/>
    </xf>
    <xf numFmtId="0" fontId="7" fillId="0" borderId="0" xfId="4" applyFont="1"/>
    <xf numFmtId="0" fontId="13" fillId="0" borderId="0" xfId="4" applyFont="1" applyAlignment="1">
      <alignment horizontal="center" wrapText="1" readingOrder="1"/>
    </xf>
    <xf numFmtId="0" fontId="12" fillId="0" borderId="0" xfId="4" applyFont="1" applyAlignment="1">
      <alignment vertical="top" wrapText="1" readingOrder="1"/>
    </xf>
  </cellXfs>
  <cellStyles count="6">
    <cellStyle name="Currency" xfId="1" builtinId="4"/>
    <cellStyle name="Currency 2" xfId="5" xr:uid="{38CD35AC-E83C-4F40-892B-3E7E92D75961}"/>
    <cellStyle name="Normal" xfId="0" builtinId="0"/>
    <cellStyle name="Normal 2" xfId="3" xr:uid="{E3919605-D682-4E60-B778-97B11A2E771E}"/>
    <cellStyle name="Normal 2 2" xfId="4" xr:uid="{0ABE70BD-BF5E-40F7-B4A0-C6907D30BB9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336D-8BBD-4E45-9FB0-7702E66AD7C9}">
  <sheetPr>
    <tabColor rgb="FFFFC000"/>
    <pageSetUpPr fitToPage="1"/>
  </sheetPr>
  <dimension ref="C2:L38"/>
  <sheetViews>
    <sheetView topLeftCell="B1" zoomScaleNormal="100" workbookViewId="0">
      <selection activeCell="F5" sqref="F5"/>
    </sheetView>
  </sheetViews>
  <sheetFormatPr defaultColWidth="9.140625" defaultRowHeight="12.75" outlineLevelRow="1" x14ac:dyDescent="0.2"/>
  <cols>
    <col min="1" max="1" width="0" style="2" hidden="1" customWidth="1"/>
    <col min="2" max="2" width="2.42578125" style="2" customWidth="1"/>
    <col min="3" max="3" width="21.140625" style="2" customWidth="1"/>
    <col min="4" max="6" width="12.7109375" style="2" customWidth="1"/>
    <col min="7" max="8" width="10.28515625" style="2" customWidth="1"/>
    <col min="9" max="9" width="12.42578125" style="2" bestFit="1" customWidth="1"/>
    <col min="10" max="11" width="11.42578125" style="2" bestFit="1" customWidth="1"/>
    <col min="12" max="12" width="12.42578125" style="2" bestFit="1" customWidth="1"/>
    <col min="13" max="16384" width="9.140625" style="2"/>
  </cols>
  <sheetData>
    <row r="2" spans="3:11" x14ac:dyDescent="0.2">
      <c r="C2" s="1" t="s">
        <v>0</v>
      </c>
    </row>
    <row r="3" spans="3:11" x14ac:dyDescent="0.2">
      <c r="C3" s="1" t="s">
        <v>1</v>
      </c>
    </row>
    <row r="4" spans="3:11" ht="13.5" thickBot="1" x14ac:dyDescent="0.25"/>
    <row r="5" spans="3:11" x14ac:dyDescent="0.2">
      <c r="C5" s="2" t="s">
        <v>2</v>
      </c>
      <c r="D5" s="3">
        <v>46313</v>
      </c>
      <c r="E5" s="4"/>
    </row>
    <row r="6" spans="3:11" ht="13.5" thickBot="1" x14ac:dyDescent="0.25">
      <c r="C6" s="2" t="s">
        <v>3</v>
      </c>
      <c r="D6" s="5">
        <v>37416.539239538106</v>
      </c>
      <c r="E6" s="4"/>
      <c r="G6" s="6"/>
      <c r="H6" s="6"/>
    </row>
    <row r="7" spans="3:11" ht="15" customHeight="1" thickBot="1" x14ac:dyDescent="0.25">
      <c r="D7" s="7"/>
    </row>
    <row r="8" spans="3:11" x14ac:dyDescent="0.2">
      <c r="C8" s="8" t="s">
        <v>4</v>
      </c>
      <c r="D8" s="8"/>
      <c r="F8" s="9"/>
    </row>
    <row r="9" spans="3:11" x14ac:dyDescent="0.2">
      <c r="C9" s="8"/>
      <c r="D9" s="8" t="s">
        <v>5</v>
      </c>
      <c r="E9" s="10" t="s">
        <v>6</v>
      </c>
      <c r="F9" s="11" t="s">
        <v>7</v>
      </c>
      <c r="G9" s="10" t="s">
        <v>8</v>
      </c>
      <c r="H9" s="10"/>
    </row>
    <row r="10" spans="3:11" ht="5.25" customHeight="1" x14ac:dyDescent="0.2">
      <c r="C10" s="8"/>
      <c r="D10" s="8"/>
      <c r="F10" s="12"/>
    </row>
    <row r="11" spans="3:11" x14ac:dyDescent="0.2">
      <c r="C11" s="2" t="s">
        <v>9</v>
      </c>
      <c r="D11" s="13">
        <v>184142.85</v>
      </c>
      <c r="E11" s="14">
        <v>0.26719964436617311</v>
      </c>
      <c r="F11" s="15">
        <v>9997.6859782175434</v>
      </c>
      <c r="G11" s="16"/>
      <c r="H11" s="16"/>
      <c r="I11" s="17"/>
      <c r="J11" s="6"/>
      <c r="K11" s="6"/>
    </row>
    <row r="12" spans="3:11" x14ac:dyDescent="0.2">
      <c r="C12" s="2" t="s">
        <v>10</v>
      </c>
      <c r="D12" s="13">
        <v>200604.26</v>
      </c>
      <c r="E12" s="14">
        <v>0.2910858984225525</v>
      </c>
      <c r="F12" s="15">
        <v>10891.426940403639</v>
      </c>
      <c r="G12" s="18"/>
      <c r="H12" s="18"/>
      <c r="I12" s="17"/>
      <c r="J12" s="6"/>
      <c r="K12" s="6"/>
    </row>
    <row r="13" spans="3:11" x14ac:dyDescent="0.2">
      <c r="C13" s="2" t="s">
        <v>11</v>
      </c>
      <c r="D13" s="13">
        <v>61313.78</v>
      </c>
      <c r="E13" s="14">
        <v>8.8969081399282002E-2</v>
      </c>
      <c r="F13" s="15">
        <v>3328.9151252818947</v>
      </c>
      <c r="G13" s="16"/>
      <c r="H13" s="16"/>
      <c r="I13" s="17"/>
      <c r="J13" s="6"/>
      <c r="K13" s="6"/>
    </row>
    <row r="14" spans="3:11" x14ac:dyDescent="0.2">
      <c r="C14" s="2" t="s">
        <v>12</v>
      </c>
      <c r="D14" s="13">
        <v>79732.899999999994</v>
      </c>
      <c r="E14" s="14">
        <v>0.11569606164064281</v>
      </c>
      <c r="F14" s="15">
        <v>4328.9462302371312</v>
      </c>
      <c r="G14" s="16"/>
      <c r="H14" s="16"/>
      <c r="I14" s="17"/>
      <c r="J14" s="6"/>
      <c r="K14" s="6"/>
    </row>
    <row r="15" spans="3:11" x14ac:dyDescent="0.2">
      <c r="C15" s="2" t="s">
        <v>13</v>
      </c>
      <c r="D15" s="13">
        <v>163364.5</v>
      </c>
      <c r="E15" s="14">
        <v>0.2370493141713495</v>
      </c>
      <c r="F15" s="15">
        <v>11373.415125397894</v>
      </c>
      <c r="G15" s="18"/>
      <c r="H15" s="18"/>
      <c r="I15" s="17"/>
      <c r="J15" s="6"/>
      <c r="K15" s="6"/>
    </row>
    <row r="16" spans="3:11" x14ac:dyDescent="0.2">
      <c r="D16" s="19"/>
      <c r="F16" s="12"/>
    </row>
    <row r="17" spans="3:12" x14ac:dyDescent="0.2">
      <c r="C17" s="1" t="s">
        <v>14</v>
      </c>
      <c r="D17" s="20">
        <v>689158.29</v>
      </c>
      <c r="F17" s="21">
        <v>39920.389399538108</v>
      </c>
      <c r="G17" s="22">
        <v>5.7926299340515956E-2</v>
      </c>
      <c r="H17" s="22"/>
      <c r="I17" s="23"/>
    </row>
    <row r="18" spans="3:12" ht="13.5" thickBot="1" x14ac:dyDescent="0.25">
      <c r="C18" s="1"/>
      <c r="D18" s="24"/>
      <c r="F18" s="25"/>
      <c r="J18" s="6"/>
      <c r="K18" s="6"/>
    </row>
    <row r="19" spans="3:12" x14ac:dyDescent="0.2">
      <c r="J19" s="6"/>
      <c r="K19" s="6"/>
    </row>
    <row r="20" spans="3:12" x14ac:dyDescent="0.2">
      <c r="D20" s="20"/>
    </row>
    <row r="21" spans="3:12" x14ac:dyDescent="0.2">
      <c r="C21" s="23"/>
      <c r="D21" s="23"/>
    </row>
    <row r="22" spans="3:12" hidden="1" outlineLevel="1" x14ac:dyDescent="0.2">
      <c r="D22" s="10" t="s">
        <v>10</v>
      </c>
      <c r="E22" s="10" t="s">
        <v>13</v>
      </c>
      <c r="F22" s="10" t="s">
        <v>11</v>
      </c>
      <c r="G22" s="2" t="s">
        <v>9</v>
      </c>
      <c r="H22" s="2" t="s">
        <v>15</v>
      </c>
      <c r="I22" s="10" t="s">
        <v>16</v>
      </c>
      <c r="J22" s="10" t="s">
        <v>17</v>
      </c>
    </row>
    <row r="23" spans="3:12" hidden="1" outlineLevel="1" x14ac:dyDescent="0.2"/>
    <row r="24" spans="3:12" hidden="1" outlineLevel="1" x14ac:dyDescent="0.2"/>
    <row r="25" spans="3:12" hidden="1" outlineLevel="1" x14ac:dyDescent="0.2">
      <c r="C25" s="2" t="s">
        <v>18</v>
      </c>
      <c r="D25" s="26"/>
      <c r="E25" s="26">
        <v>2503.85016</v>
      </c>
      <c r="F25" s="6"/>
      <c r="G25" s="27"/>
      <c r="H25" s="27"/>
      <c r="I25" s="26">
        <v>2884.62</v>
      </c>
      <c r="J25" s="6">
        <v>3129.8126999999999</v>
      </c>
      <c r="K25" s="6"/>
      <c r="L25" s="6"/>
    </row>
    <row r="26" spans="3:12" hidden="1" outlineLevel="1" x14ac:dyDescent="0.2">
      <c r="C26" s="2" t="s">
        <v>19</v>
      </c>
      <c r="D26" s="26"/>
      <c r="E26" s="26"/>
      <c r="F26" s="6"/>
      <c r="G26" s="27"/>
      <c r="H26" s="27"/>
      <c r="I26" s="26">
        <v>4134.62</v>
      </c>
      <c r="J26" s="6">
        <v>4486.0626999999995</v>
      </c>
      <c r="K26" s="6"/>
      <c r="L26" s="6"/>
    </row>
    <row r="27" spans="3:12" hidden="1" outlineLevel="1" x14ac:dyDescent="0.2">
      <c r="C27" s="2" t="s">
        <v>20</v>
      </c>
      <c r="D27" s="26"/>
      <c r="E27" s="26"/>
      <c r="F27" s="26"/>
      <c r="I27" s="26">
        <v>2115.38</v>
      </c>
      <c r="J27" s="6">
        <v>2295.1873000000001</v>
      </c>
      <c r="K27" s="6"/>
    </row>
    <row r="28" spans="3:12" hidden="1" outlineLevel="1" x14ac:dyDescent="0.2">
      <c r="C28" s="2" t="s">
        <v>14</v>
      </c>
      <c r="D28" s="26">
        <v>0</v>
      </c>
      <c r="E28" s="26">
        <v>2503.85016</v>
      </c>
      <c r="F28" s="26">
        <v>0</v>
      </c>
      <c r="G28" s="26">
        <v>0</v>
      </c>
      <c r="H28" s="26">
        <v>0</v>
      </c>
      <c r="I28" s="26"/>
      <c r="K28" s="6">
        <v>2503.85016</v>
      </c>
    </row>
    <row r="29" spans="3:12" hidden="1" outlineLevel="1" x14ac:dyDescent="0.2"/>
    <row r="30" spans="3:12" collapsed="1" x14ac:dyDescent="0.2">
      <c r="E30" s="27" t="s">
        <v>21</v>
      </c>
      <c r="F30" s="10" t="s">
        <v>22</v>
      </c>
    </row>
    <row r="31" spans="3:12" x14ac:dyDescent="0.2">
      <c r="E31" s="10" t="s">
        <v>23</v>
      </c>
      <c r="F31" s="10" t="s">
        <v>24</v>
      </c>
    </row>
    <row r="32" spans="3:12" x14ac:dyDescent="0.2">
      <c r="D32" s="6"/>
      <c r="E32" s="6"/>
      <c r="F32" s="6"/>
    </row>
    <row r="33" spans="4:6" x14ac:dyDescent="0.2">
      <c r="D33" s="2" t="s">
        <v>9</v>
      </c>
      <c r="E33" s="17">
        <v>9997.6859782175434</v>
      </c>
      <c r="F33" s="17"/>
    </row>
    <row r="34" spans="4:6" x14ac:dyDescent="0.2">
      <c r="D34" s="2" t="s">
        <v>10</v>
      </c>
      <c r="E34" s="17">
        <v>10891.426940403639</v>
      </c>
      <c r="F34" s="17"/>
    </row>
    <row r="35" spans="4:6" x14ac:dyDescent="0.2">
      <c r="D35" s="2" t="s">
        <v>11</v>
      </c>
      <c r="E35" s="17">
        <v>3328.9151252818947</v>
      </c>
      <c r="F35" s="17"/>
    </row>
    <row r="36" spans="4:6" x14ac:dyDescent="0.2">
      <c r="D36" s="2" t="s">
        <v>12</v>
      </c>
      <c r="E36" s="17">
        <v>4328.9462302371312</v>
      </c>
      <c r="F36" s="17"/>
    </row>
    <row r="37" spans="4:6" x14ac:dyDescent="0.2">
      <c r="D37" s="2" t="s">
        <v>13</v>
      </c>
      <c r="E37" s="17">
        <v>11373.415125397894</v>
      </c>
      <c r="F37" s="17"/>
    </row>
    <row r="38" spans="4:6" x14ac:dyDescent="0.2">
      <c r="D38" s="2" t="s">
        <v>25</v>
      </c>
      <c r="E38" s="17"/>
      <c r="F38" s="17">
        <v>39920.389399538108</v>
      </c>
    </row>
  </sheetData>
  <printOptions horizontalCentered="1" verticalCentered="1"/>
  <pageMargins left="0" right="0" top="0.23" bottom="0.17" header="0.17" footer="0.17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5FCF-B6BC-41D3-B423-8AF9E8627235}">
  <dimension ref="A1:I25"/>
  <sheetViews>
    <sheetView showGridLines="0" tabSelected="1" workbookViewId="0">
      <pane xSplit="1" ySplit="5" topLeftCell="B6" activePane="bottomRight" state="frozen"/>
      <selection pane="topRight" activeCell="C1" sqref="C1"/>
      <selection pane="bottomLeft" activeCell="A7" sqref="A7"/>
      <selection pane="bottomRight" sqref="A1:B1"/>
    </sheetView>
  </sheetViews>
  <sheetFormatPr defaultColWidth="8.85546875" defaultRowHeight="15" x14ac:dyDescent="0.25"/>
  <cols>
    <col min="1" max="1" width="28.85546875" style="28" customWidth="1"/>
    <col min="2" max="7" width="10.28515625" style="28" customWidth="1"/>
    <col min="8" max="8" width="10.42578125" style="28" customWidth="1"/>
    <col min="9" max="16384" width="8.85546875" style="28"/>
  </cols>
  <sheetData>
    <row r="1" spans="1:9" ht="21.95" customHeight="1" x14ac:dyDescent="0.25">
      <c r="A1" s="50" t="s">
        <v>50</v>
      </c>
      <c r="B1" s="51"/>
    </row>
    <row r="2" spans="1:9" ht="12.95" customHeight="1" x14ac:dyDescent="0.25">
      <c r="A2" s="52" t="s">
        <v>49</v>
      </c>
      <c r="B2" s="51"/>
    </row>
    <row r="3" spans="1:9" ht="13.9" customHeight="1" x14ac:dyDescent="0.25">
      <c r="A3" s="53" t="s">
        <v>48</v>
      </c>
      <c r="B3" s="51"/>
    </row>
    <row r="4" spans="1:9" ht="0" hidden="1" customHeight="1" x14ac:dyDescent="0.25"/>
    <row r="5" spans="1:9" ht="27" x14ac:dyDescent="0.25">
      <c r="A5" s="48" t="s">
        <v>34</v>
      </c>
      <c r="B5" s="47" t="s">
        <v>47</v>
      </c>
      <c r="C5" s="47" t="s">
        <v>46</v>
      </c>
      <c r="D5" s="47" t="s">
        <v>45</v>
      </c>
      <c r="E5" s="47" t="s">
        <v>44</v>
      </c>
      <c r="F5" s="47" t="s">
        <v>43</v>
      </c>
      <c r="G5" s="47" t="s">
        <v>42</v>
      </c>
      <c r="H5" s="47" t="s">
        <v>14</v>
      </c>
    </row>
    <row r="6" spans="1:9" x14ac:dyDescent="0.25">
      <c r="A6" s="46" t="s">
        <v>41</v>
      </c>
      <c r="B6" s="45" t="s">
        <v>34</v>
      </c>
      <c r="C6" s="45" t="s">
        <v>34</v>
      </c>
      <c r="D6" s="45" t="s">
        <v>34</v>
      </c>
      <c r="E6" s="45" t="s">
        <v>34</v>
      </c>
      <c r="F6" s="45" t="s">
        <v>34</v>
      </c>
      <c r="G6" s="45" t="s">
        <v>34</v>
      </c>
      <c r="H6" s="45" t="s">
        <v>34</v>
      </c>
    </row>
    <row r="7" spans="1:9" x14ac:dyDescent="0.25">
      <c r="A7" s="43" t="s">
        <v>40</v>
      </c>
      <c r="B7" s="42">
        <v>-6028.71</v>
      </c>
      <c r="C7" s="42" t="s">
        <v>34</v>
      </c>
      <c r="D7" s="42" t="s">
        <v>34</v>
      </c>
      <c r="E7" s="42" t="s">
        <v>34</v>
      </c>
      <c r="F7" s="42" t="s">
        <v>34</v>
      </c>
      <c r="G7" s="44">
        <v>44.88</v>
      </c>
      <c r="H7" s="42">
        <v>-5983.83</v>
      </c>
      <c r="I7" s="49"/>
    </row>
    <row r="8" spans="1:9" x14ac:dyDescent="0.25">
      <c r="A8" s="43" t="s">
        <v>39</v>
      </c>
      <c r="B8" s="42">
        <v>-1294.03</v>
      </c>
      <c r="C8" s="42" t="s">
        <v>34</v>
      </c>
      <c r="D8" s="42" t="s">
        <v>34</v>
      </c>
      <c r="E8" s="42" t="s">
        <v>34</v>
      </c>
      <c r="F8" s="42">
        <v>522.41</v>
      </c>
      <c r="G8" s="42" t="s">
        <v>34</v>
      </c>
      <c r="H8" s="42">
        <v>-771.62</v>
      </c>
    </row>
    <row r="9" spans="1:9" x14ac:dyDescent="0.25">
      <c r="A9" s="43" t="s">
        <v>38</v>
      </c>
      <c r="B9" s="42">
        <v>-19920.919999999998</v>
      </c>
      <c r="C9" s="42" t="s">
        <v>34</v>
      </c>
      <c r="D9" s="42" t="s">
        <v>34</v>
      </c>
      <c r="E9" s="42" t="s">
        <v>34</v>
      </c>
      <c r="F9" s="42" t="s">
        <v>34</v>
      </c>
      <c r="G9" s="42" t="s">
        <v>34</v>
      </c>
      <c r="H9" s="42">
        <v>-19920.919999999998</v>
      </c>
    </row>
    <row r="10" spans="1:9" x14ac:dyDescent="0.25">
      <c r="A10" s="43" t="s">
        <v>37</v>
      </c>
      <c r="B10" s="42">
        <v>-1428.07</v>
      </c>
      <c r="C10" s="42" t="s">
        <v>34</v>
      </c>
      <c r="D10" s="42" t="s">
        <v>34</v>
      </c>
      <c r="E10" s="42">
        <v>-249.72</v>
      </c>
      <c r="F10" s="42" t="s">
        <v>34</v>
      </c>
      <c r="G10" s="42">
        <v>19711.77</v>
      </c>
      <c r="H10" s="42">
        <v>18033.98</v>
      </c>
    </row>
    <row r="11" spans="1:9" x14ac:dyDescent="0.25">
      <c r="A11" s="43" t="s">
        <v>36</v>
      </c>
      <c r="B11" s="42">
        <v>-4928.1099999999997</v>
      </c>
      <c r="C11" s="44">
        <v>135</v>
      </c>
      <c r="D11" s="42" t="s">
        <v>34</v>
      </c>
      <c r="E11" s="42" t="s">
        <v>34</v>
      </c>
      <c r="F11" s="42" t="s">
        <v>34</v>
      </c>
      <c r="G11" s="42" t="s">
        <v>34</v>
      </c>
      <c r="H11" s="42">
        <v>-4793.1099999999997</v>
      </c>
    </row>
    <row r="12" spans="1:9" x14ac:dyDescent="0.25">
      <c r="A12" s="43" t="s">
        <v>35</v>
      </c>
      <c r="B12" s="42" t="s">
        <v>34</v>
      </c>
      <c r="C12" s="42">
        <v>-1132.68</v>
      </c>
      <c r="D12" s="42">
        <v>92.75</v>
      </c>
      <c r="E12" s="42">
        <v>-5477.96</v>
      </c>
      <c r="F12" s="42">
        <v>-5342.79</v>
      </c>
      <c r="G12" s="42">
        <v>-1680.7</v>
      </c>
      <c r="H12" s="42">
        <v>-13541.38</v>
      </c>
    </row>
    <row r="13" spans="1:9" x14ac:dyDescent="0.25">
      <c r="A13" s="41" t="s">
        <v>33</v>
      </c>
      <c r="B13" s="40">
        <v>-33599.839999999997</v>
      </c>
      <c r="C13" s="40">
        <v>-997.68</v>
      </c>
      <c r="D13" s="40">
        <v>92.75</v>
      </c>
      <c r="E13" s="40">
        <v>-5727.68</v>
      </c>
      <c r="F13" s="40">
        <v>-4820.38</v>
      </c>
      <c r="G13" s="40">
        <v>18075.95</v>
      </c>
      <c r="H13" s="40">
        <v>-26976.880000000001</v>
      </c>
    </row>
    <row r="15" spans="1:9" ht="15.75" thickBot="1" x14ac:dyDescent="0.3"/>
    <row r="16" spans="1:9" x14ac:dyDescent="0.25">
      <c r="A16" s="39"/>
      <c r="B16" s="38"/>
      <c r="C16" s="38"/>
      <c r="D16" s="38"/>
      <c r="E16" s="38"/>
      <c r="F16" s="38"/>
      <c r="G16" s="37"/>
    </row>
    <row r="17" spans="1:9" x14ac:dyDescent="0.25">
      <c r="A17" s="35" t="s">
        <v>32</v>
      </c>
      <c r="B17" s="28" t="s">
        <v>51</v>
      </c>
      <c r="C17" s="28" t="s">
        <v>31</v>
      </c>
      <c r="D17" s="28" t="s">
        <v>30</v>
      </c>
      <c r="G17" s="33"/>
      <c r="I17" s="28" t="s">
        <v>29</v>
      </c>
    </row>
    <row r="18" spans="1:9" x14ac:dyDescent="0.25">
      <c r="A18" s="35"/>
      <c r="G18" s="33"/>
    </row>
    <row r="19" spans="1:9" x14ac:dyDescent="0.25">
      <c r="A19" s="35"/>
      <c r="D19" s="36"/>
      <c r="G19" s="33"/>
      <c r="I19" s="28" t="s">
        <v>28</v>
      </c>
    </row>
    <row r="20" spans="1:9" x14ac:dyDescent="0.25">
      <c r="A20" s="35"/>
      <c r="B20" s="28" t="s">
        <v>9</v>
      </c>
      <c r="C20" s="28" t="s">
        <v>26</v>
      </c>
      <c r="D20" s="34">
        <f>C12*-1</f>
        <v>1132.68</v>
      </c>
      <c r="G20" s="33"/>
      <c r="I20" s="28" t="s">
        <v>27</v>
      </c>
    </row>
    <row r="21" spans="1:9" x14ac:dyDescent="0.25">
      <c r="A21" s="35"/>
      <c r="B21" s="28" t="s">
        <v>12</v>
      </c>
      <c r="C21" s="28" t="s">
        <v>26</v>
      </c>
      <c r="D21" s="34">
        <f>1000-D12</f>
        <v>907.25</v>
      </c>
      <c r="G21" s="33"/>
    </row>
    <row r="22" spans="1:9" x14ac:dyDescent="0.25">
      <c r="A22" s="35"/>
      <c r="B22" s="28" t="s">
        <v>10</v>
      </c>
      <c r="C22" s="28" t="s">
        <v>26</v>
      </c>
      <c r="D22" s="34">
        <f>E12*-1</f>
        <v>5477.96</v>
      </c>
      <c r="G22" s="33"/>
    </row>
    <row r="23" spans="1:9" x14ac:dyDescent="0.25">
      <c r="A23" s="35"/>
      <c r="B23" s="28" t="s">
        <v>13</v>
      </c>
      <c r="C23" s="28" t="s">
        <v>26</v>
      </c>
      <c r="D23" s="34">
        <f>F12*-1</f>
        <v>5342.79</v>
      </c>
      <c r="G23" s="33"/>
    </row>
    <row r="24" spans="1:9" x14ac:dyDescent="0.25">
      <c r="A24" s="35"/>
      <c r="B24" s="28" t="s">
        <v>11</v>
      </c>
      <c r="C24" s="28" t="s">
        <v>26</v>
      </c>
      <c r="D24" s="34">
        <v>680.7</v>
      </c>
      <c r="G24" s="33"/>
    </row>
    <row r="25" spans="1:9" ht="15.75" thickBot="1" x14ac:dyDescent="0.3">
      <c r="A25" s="32"/>
      <c r="B25" s="30"/>
      <c r="C25" s="30"/>
      <c r="D25" s="30"/>
      <c r="E25" s="31"/>
      <c r="F25" s="30"/>
      <c r="G25" s="29"/>
    </row>
  </sheetData>
  <mergeCells count="3">
    <mergeCell ref="A1:B1"/>
    <mergeCell ref="A2:B2"/>
    <mergeCell ref="A3:B3"/>
  </mergeCells>
  <pageMargins left="0.25" right="0.25" top="0.5" bottom="0.75172992125984295" header="0.5" footer="0.5"/>
  <pageSetup orientation="landscape" horizontalDpi="300" verticalDpi="300"/>
  <headerFooter alignWithMargins="0">
    <oddFooter>&amp;L&amp;"Arial,Regular"&amp;8 Powered by Restaurant365 &amp;C&amp;"Arial,Regular"&amp;8 10/16/2026 1:05:27 PM EDT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AB6D4B2B2854DA6E70524437CBFB9" ma:contentTypeVersion="3" ma:contentTypeDescription="Create a new document." ma:contentTypeScope="" ma:versionID="4e1e9b23ec8477809d7d6a3df41e68e8">
  <xsd:schema xmlns:xsd="http://www.w3.org/2001/XMLSchema" xmlns:xs="http://www.w3.org/2001/XMLSchema" xmlns:p="http://schemas.microsoft.com/office/2006/metadata/properties" xmlns:ns2="b781e349-db99-4858-a437-9b8464d54e7e" targetNamespace="http://schemas.microsoft.com/office/2006/metadata/properties" ma:root="true" ma:fieldsID="26039379dd5582092250119516eaa221" ns2:_="">
    <xsd:import namespace="b781e349-db99-4858-a437-9b8464d54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1e349-db99-4858-a437-9b8464d54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7C6D01-8920-46AB-8480-8EE912E0D70E}"/>
</file>

<file path=customXml/itemProps2.xml><?xml version="1.0" encoding="utf-8"?>
<ds:datastoreItem xmlns:ds="http://schemas.openxmlformats.org/officeDocument/2006/customXml" ds:itemID="{E78C7FA5-CF87-4CB4-9904-0845E20AD0CC}"/>
</file>

<file path=customXml/itemProps3.xml><?xml version="1.0" encoding="utf-8"?>
<ds:datastoreItem xmlns:ds="http://schemas.openxmlformats.org/officeDocument/2006/customXml" ds:itemID="{77F6ED60-C778-4B1C-805B-0F8B2F101C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Mgmt Fee Funding</vt:lpstr>
      <vt:lpstr>Intercompany</vt:lpstr>
      <vt:lpstr>'Mgmt Fee Funding'!Print_Area</vt:lpstr>
      <vt:lpstr>'Mgmt Fee Funding'!Print_Titles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Hochhauser</dc:creator>
  <cp:lastModifiedBy>Brandy Sanders</cp:lastModifiedBy>
  <dcterms:created xsi:type="dcterms:W3CDTF">2026-10-19T11:07:16Z</dcterms:created>
  <dcterms:modified xsi:type="dcterms:W3CDTF">2026-10-19T11:55:40Z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0x0101005E8AB6D4B2B2854DA6E70524437CBFB9</vt:lpwstr>
  </property>
</Properties>
</file>